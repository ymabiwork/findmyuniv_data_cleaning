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64011"/>
  <mc:AlternateContent xmlns:mc="http://schemas.openxmlformats.org/markup-compatibility/2006">
    <mc:Choice Requires="x15">
      <x15ac:absPath xmlns:x15ac="http://schemas.microsoft.com/office/spreadsheetml/2010/11/ac" url="D:\findmyuniv data\자료정리 양식\"/>
    </mc:Choice>
  </mc:AlternateContent>
  <bookViews>
    <workbookView xWindow="0" yWindow="0" windowWidth="23040" windowHeight="9696" activeTab="4"/>
  </bookViews>
  <sheets>
    <sheet name="25교과" sheetId="1" r:id="rId1"/>
    <sheet name="교과" sheetId="4" r:id="rId2"/>
    <sheet name="25종합" sheetId="2" r:id="rId3"/>
    <sheet name="종합" sheetId="5" r:id="rId4"/>
    <sheet name="26수능" sheetId="3" r:id="rId5"/>
    <sheet name="수능" sheetId="6" r:id="rId6"/>
    <sheet name="변환표준점수 사용대학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3" i="3" l="1"/>
  <c r="C3" i="3"/>
  <c r="B1" i="3" l="1"/>
  <c r="C1" i="3" s="1"/>
  <c r="D1" i="3" s="1"/>
  <c r="E1" i="3" s="1"/>
  <c r="F1" i="3" s="1"/>
  <c r="G1" i="3" s="1"/>
  <c r="H1" i="3" s="1"/>
  <c r="I1" i="3" s="1"/>
  <c r="J1" i="3" s="1"/>
  <c r="K1" i="3" s="1"/>
  <c r="L1" i="3" s="1"/>
  <c r="M1" i="3" s="1"/>
  <c r="N1" i="3" s="1"/>
  <c r="O1" i="3" s="1"/>
  <c r="P1" i="3" s="1"/>
  <c r="Q1" i="3" s="1"/>
  <c r="R1" i="3" s="1"/>
  <c r="S1" i="3" s="1"/>
  <c r="T1" i="3" s="1"/>
  <c r="U1" i="3" s="1"/>
  <c r="V1" i="3" s="1"/>
  <c r="W1" i="3" s="1"/>
  <c r="X1" i="3" s="1"/>
  <c r="Y1" i="3" s="1"/>
  <c r="Z1" i="3" s="1"/>
  <c r="AA1" i="3" s="1"/>
  <c r="AB1" i="3" s="1"/>
  <c r="AC1" i="3" s="1"/>
  <c r="AD1" i="3" s="1"/>
  <c r="AE1" i="3" s="1"/>
  <c r="AF1" i="3" s="1"/>
  <c r="AG1" i="3" s="1"/>
  <c r="AH1" i="3" s="1"/>
  <c r="AI1" i="3" s="1"/>
  <c r="AJ1" i="3" s="1"/>
  <c r="AK1" i="3" s="1"/>
  <c r="AL1" i="3" s="1"/>
  <c r="AM1" i="3" s="1"/>
  <c r="AN1" i="3" s="1"/>
  <c r="AO1" i="3" s="1"/>
  <c r="AP1" i="3" s="1"/>
  <c r="AQ1" i="3" s="1"/>
  <c r="AR1" i="3" s="1"/>
  <c r="AS1" i="3" s="1"/>
  <c r="AT1" i="3" s="1"/>
  <c r="AU1" i="3" s="1"/>
  <c r="AV1" i="3" s="1"/>
  <c r="AW1" i="3" s="1"/>
  <c r="AX1" i="3" s="1"/>
  <c r="AY1" i="3" s="1"/>
  <c r="AZ1" i="3" s="1"/>
  <c r="BA1" i="3" s="1"/>
  <c r="BB1" i="3" s="1"/>
  <c r="BC1" i="3" s="1"/>
  <c r="BD1" i="3" s="1"/>
  <c r="BE1" i="3" s="1"/>
  <c r="BF1" i="3" s="1"/>
  <c r="BG1" i="3" s="1"/>
  <c r="BH1" i="3" s="1"/>
  <c r="BI1" i="3" s="1"/>
  <c r="BJ1" i="3" s="1"/>
  <c r="BK1" i="3" s="1"/>
  <c r="BL1" i="3" s="1"/>
  <c r="BM1" i="3" s="1"/>
  <c r="BN1" i="3" s="1"/>
  <c r="BO1" i="3" s="1"/>
  <c r="BP1" i="3" s="1"/>
  <c r="BQ1" i="3" s="1"/>
  <c r="BR1" i="3" s="1"/>
  <c r="BS1" i="3" s="1"/>
  <c r="BT1" i="3" s="1"/>
  <c r="BU1" i="3" s="1"/>
  <c r="BV1" i="3" s="1"/>
  <c r="BW1" i="3" s="1"/>
  <c r="BX1" i="3" s="1"/>
  <c r="BY1" i="3" s="1"/>
  <c r="BZ1" i="3" s="1"/>
  <c r="CA1" i="3" s="1"/>
  <c r="CB1" i="3" s="1"/>
  <c r="CC1" i="3" s="1"/>
  <c r="CD1" i="3" s="1"/>
  <c r="CE1" i="3" s="1"/>
  <c r="CF1" i="3" s="1"/>
  <c r="CG1" i="3" s="1"/>
  <c r="CH1" i="3" s="1"/>
  <c r="CI1" i="3" s="1"/>
  <c r="CJ1" i="3" s="1"/>
  <c r="CK1" i="3" s="1"/>
  <c r="CL1" i="3" s="1"/>
  <c r="CM1" i="3" s="1"/>
  <c r="CN1" i="3" s="1"/>
  <c r="CO1" i="3" s="1"/>
  <c r="CP1" i="3" s="1"/>
  <c r="CQ1" i="3" s="1"/>
  <c r="CR1" i="3" s="1"/>
  <c r="CS1" i="3" s="1"/>
  <c r="CT1" i="3" s="1"/>
  <c r="CU1" i="3" s="1"/>
  <c r="CV1" i="3" s="1"/>
  <c r="CW1" i="3" s="1"/>
  <c r="CX1" i="3" s="1"/>
</calcChain>
</file>

<file path=xl/sharedStrings.xml><?xml version="1.0" encoding="utf-8"?>
<sst xmlns="http://schemas.openxmlformats.org/spreadsheetml/2006/main" count="184" uniqueCount="144">
  <si>
    <t>모집단위</t>
  </si>
  <si>
    <t>모집
인원</t>
  </si>
  <si>
    <t>경쟁률</t>
  </si>
  <si>
    <t>충원
합격
순위</t>
  </si>
  <si>
    <t>구분</t>
    <phoneticPr fontId="1" type="noConversion"/>
  </si>
  <si>
    <t>대학명</t>
    <phoneticPr fontId="1" type="noConversion"/>
  </si>
  <si>
    <t>전형명</t>
    <phoneticPr fontId="1" type="noConversion"/>
  </si>
  <si>
    <t>교과</t>
    <phoneticPr fontId="1" type="noConversion"/>
  </si>
  <si>
    <t>모집인원</t>
  </si>
  <si>
    <t>25대학환산(50%cut)</t>
  </si>
  <si>
    <t>25대학환산(70%cut)</t>
  </si>
  <si>
    <t>25학생부(50%cut)</t>
  </si>
  <si>
    <t>25학생부(70%cut)</t>
  </si>
  <si>
    <t>구분</t>
    <phoneticPr fontId="1" type="noConversion"/>
  </si>
  <si>
    <t>대학명</t>
    <phoneticPr fontId="1" type="noConversion"/>
  </si>
  <si>
    <t>전형명</t>
    <phoneticPr fontId="1" type="noConversion"/>
  </si>
  <si>
    <t>모집단위</t>
    <phoneticPr fontId="1" type="noConversion"/>
  </si>
  <si>
    <t>모집인원</t>
    <phoneticPr fontId="1" type="noConversion"/>
  </si>
  <si>
    <t>경쟁률</t>
    <phoneticPr fontId="1" type="noConversion"/>
  </si>
  <si>
    <t>충원인원</t>
    <phoneticPr fontId="1" type="noConversion"/>
  </si>
  <si>
    <t>25학생부(50% cut)</t>
  </si>
  <si>
    <t>25학생부(70% cut)</t>
  </si>
  <si>
    <t>만점</t>
    <phoneticPr fontId="1" type="noConversion"/>
  </si>
  <si>
    <t>영3</t>
  </si>
  <si>
    <t>영4</t>
  </si>
  <si>
    <t>영5</t>
  </si>
  <si>
    <t>영6</t>
  </si>
  <si>
    <t>영7</t>
  </si>
  <si>
    <t>영8</t>
  </si>
  <si>
    <t>영9</t>
  </si>
  <si>
    <t>한2</t>
  </si>
  <si>
    <t>한3</t>
  </si>
  <si>
    <t>한4</t>
  </si>
  <si>
    <t>한5</t>
  </si>
  <si>
    <t>한6</t>
  </si>
  <si>
    <t>한7</t>
  </si>
  <si>
    <t>한8</t>
  </si>
  <si>
    <t>한9</t>
  </si>
  <si>
    <t>건국대학교</t>
    <phoneticPr fontId="1" type="noConversion"/>
  </si>
  <si>
    <t>경희대학교</t>
    <phoneticPr fontId="1" type="noConversion"/>
  </si>
  <si>
    <t>고려대학교-과탐</t>
    <phoneticPr fontId="1" type="noConversion"/>
  </si>
  <si>
    <t>고려대학교-사탐</t>
    <phoneticPr fontId="1" type="noConversion"/>
  </si>
  <si>
    <t>광운대학교</t>
    <phoneticPr fontId="1" type="noConversion"/>
  </si>
  <si>
    <t>동국대학교</t>
    <phoneticPr fontId="1" type="noConversion"/>
  </si>
  <si>
    <t>서강대학교</t>
    <phoneticPr fontId="1" type="noConversion"/>
  </si>
  <si>
    <t>제2한3</t>
  </si>
  <si>
    <t>제2한4</t>
  </si>
  <si>
    <t>제2한5</t>
  </si>
  <si>
    <t>제2한6</t>
  </si>
  <si>
    <t>제2한7</t>
  </si>
  <si>
    <t>제2한8</t>
  </si>
  <si>
    <t>제2한9</t>
  </si>
  <si>
    <t>서울시립대학교</t>
    <phoneticPr fontId="1" type="noConversion"/>
  </si>
  <si>
    <t>성균관대학교</t>
    <phoneticPr fontId="1" type="noConversion"/>
  </si>
  <si>
    <t>세종대학교</t>
    <phoneticPr fontId="1" type="noConversion"/>
  </si>
  <si>
    <t>숭실대학교</t>
    <phoneticPr fontId="1" type="noConversion"/>
  </si>
  <si>
    <t>연세대학교</t>
    <phoneticPr fontId="1" type="noConversion"/>
  </si>
  <si>
    <t>중앙대학교</t>
    <phoneticPr fontId="1" type="noConversion"/>
  </si>
  <si>
    <t>한국외국어대학교</t>
    <phoneticPr fontId="1" type="noConversion"/>
  </si>
  <si>
    <t>한양대학교</t>
    <phoneticPr fontId="1" type="noConversion"/>
  </si>
  <si>
    <t>이화여자대학교</t>
    <phoneticPr fontId="1" type="noConversion"/>
  </si>
  <si>
    <t>2026학년도 정시</t>
    <phoneticPr fontId="2" type="noConversion"/>
  </si>
  <si>
    <t>수능(50% cut)</t>
  </si>
  <si>
    <t>수능(70% cut)</t>
  </si>
  <si>
    <t>수능백분위(50%cut)</t>
  </si>
  <si>
    <t>수능백분위(70%cut)</t>
  </si>
  <si>
    <t>국(50%cut)</t>
  </si>
  <si>
    <t>수(50%cut)</t>
  </si>
  <si>
    <t>탐1(50%cut)</t>
  </si>
  <si>
    <t>탐2(50%cut)</t>
  </si>
  <si>
    <t>영(50%cut)</t>
  </si>
  <si>
    <t>한(50%cut)</t>
  </si>
  <si>
    <t>국(70%cut)</t>
  </si>
  <si>
    <t>수(70%cut)</t>
  </si>
  <si>
    <t>탐1(70%cut)</t>
  </si>
  <si>
    <t>탐2(70%cut)</t>
  </si>
  <si>
    <t>영(70%cut)</t>
  </si>
  <si>
    <t>한(70%cut)</t>
  </si>
  <si>
    <t>학년도</t>
  </si>
  <si>
    <t>대학교명</t>
  </si>
  <si>
    <t>지원군</t>
  </si>
  <si>
    <t>충원합격</t>
  </si>
  <si>
    <t>만점</t>
  </si>
  <si>
    <t>백분위/표준점수/변환표준점수/등급</t>
  </si>
  <si>
    <t>변환점수적용구분</t>
  </si>
  <si>
    <t>국어</t>
  </si>
  <si>
    <t>수학</t>
  </si>
  <si>
    <t>영어</t>
  </si>
  <si>
    <t>탐1</t>
  </si>
  <si>
    <t>탐2</t>
  </si>
  <si>
    <t>한국사</t>
  </si>
  <si>
    <t>국수MAX</t>
  </si>
  <si>
    <t>국수MIN</t>
  </si>
  <si>
    <t>국수탐MAX</t>
  </si>
  <si>
    <t>국수탐MID</t>
  </si>
  <si>
    <t>국수탐MIN</t>
  </si>
  <si>
    <t>국수영탐MAX</t>
  </si>
  <si>
    <t>국수영탐MID1</t>
  </si>
  <si>
    <t>국수영탐MID2</t>
  </si>
  <si>
    <t>국수영탐MIN</t>
  </si>
  <si>
    <t>수탐MAX</t>
  </si>
  <si>
    <t>국탐MAX</t>
  </si>
  <si>
    <t>국탐MIN</t>
  </si>
  <si>
    <t>국영탐MAX</t>
  </si>
  <si>
    <t>국영탐MID</t>
  </si>
  <si>
    <t>수영탐MAX</t>
  </si>
  <si>
    <t>수영탐MID</t>
  </si>
  <si>
    <t>수영MAX</t>
  </si>
  <si>
    <t>국영MAX</t>
  </si>
  <si>
    <t>국영수MAX</t>
  </si>
  <si>
    <t>국영수MID</t>
  </si>
  <si>
    <t>국영수MIN</t>
  </si>
  <si>
    <t>영1</t>
  </si>
  <si>
    <t>영2</t>
  </si>
  <si>
    <t>한1</t>
  </si>
  <si>
    <t>제2한1</t>
  </si>
  <si>
    <t>제2한2</t>
  </si>
  <si>
    <t>가산점</t>
  </si>
  <si>
    <t>확통가산</t>
  </si>
  <si>
    <t>미적분가산</t>
  </si>
  <si>
    <t>기하가산</t>
  </si>
  <si>
    <t>과탐가산</t>
  </si>
  <si>
    <t>사탐가산</t>
  </si>
  <si>
    <t>과탐2개</t>
  </si>
  <si>
    <t>과Ⅰ/ⅠⅠ</t>
  </si>
  <si>
    <t>과Ⅱ</t>
  </si>
  <si>
    <t>과탐 ⅠⅡ</t>
  </si>
  <si>
    <t>물리</t>
  </si>
  <si>
    <t>과탐 ⅠⅠ</t>
  </si>
  <si>
    <t>과탐1개</t>
  </si>
  <si>
    <t>응시과목지정</t>
  </si>
  <si>
    <t>반영비율여유3</t>
    <phoneticPr fontId="1" type="noConversion"/>
  </si>
  <si>
    <t>반영비율여유4</t>
    <phoneticPr fontId="1" type="noConversion"/>
  </si>
  <si>
    <t>반영비율여유5</t>
    <phoneticPr fontId="1" type="noConversion"/>
  </si>
  <si>
    <t>가산점여유1</t>
    <phoneticPr fontId="1" type="noConversion"/>
  </si>
  <si>
    <t>과탐ⅡⅡ</t>
    <phoneticPr fontId="1" type="noConversion"/>
  </si>
  <si>
    <t>학과명</t>
    <phoneticPr fontId="1" type="noConversion"/>
  </si>
  <si>
    <t>여유1</t>
    <phoneticPr fontId="1" type="noConversion"/>
  </si>
  <si>
    <t>여유2</t>
    <phoneticPr fontId="1" type="noConversion"/>
  </si>
  <si>
    <t>여유3</t>
    <phoneticPr fontId="1" type="noConversion"/>
  </si>
  <si>
    <t>가산점여유2</t>
    <phoneticPr fontId="1" type="noConversion"/>
  </si>
  <si>
    <t>학과순번</t>
    <phoneticPr fontId="1" type="noConversion"/>
  </si>
  <si>
    <t>수영탐MIN</t>
    <phoneticPr fontId="1" type="noConversion"/>
  </si>
  <si>
    <t>국영탐MIN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</si>
</sst>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  <xf numFmtId="0" fontId="0" fillId="0" borderId="0" xfId="0" applyFill="1" applyAlignment="1">
      <alignment horizontal="center"/>
    </xf>
    <xf numFmtId="0" fontId="0" fillId="0" borderId="1" xfId="0" applyBorder="1">
      <alignment vertical="center"/>
    </xf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44"/>
  <sheetViews>
    <sheetView workbookViewId="0">
      <selection activeCell="G1" sqref="A1:XFD1"/>
    </sheetView>
  </sheetViews>
  <sheetFormatPr defaultRowHeight="17.399999999999999" x14ac:dyDescent="0.4"/>
  <cols>
    <col min="1" max="1" width="5" bestFit="1" customWidth="1"/>
    <col min="2" max="2" width="8.59765625" bestFit="1" customWidth="1"/>
    <col min="3" max="3" width="12.3984375" bestFit="1" customWidth="1"/>
    <col min="4" max="4" width="8.59765625" bestFit="1" customWidth="1"/>
    <col min="5" max="5" width="12.3984375" bestFit="1" customWidth="1"/>
    <col min="6" max="6" width="18.8984375" bestFit="1" customWidth="1"/>
    <col min="7" max="7" width="12.3984375" bestFit="1" customWidth="1"/>
    <col min="8" max="8" width="18.296875" bestFit="1" customWidth="1"/>
    <col min="9" max="9" width="28.09765625" bestFit="1" customWidth="1"/>
    <col min="10" max="10" width="28.09765625" customWidth="1"/>
    <col min="11" max="12" width="16.296875" bestFit="1" customWidth="1"/>
  </cols>
  <sheetData>
    <row r="1" spans="1:15" s="3" customFormat="1" x14ac:dyDescent="0.4">
      <c r="A1" s="2" t="s">
        <v>4</v>
      </c>
      <c r="B1" s="2" t="s">
        <v>5</v>
      </c>
      <c r="C1" s="2" t="s">
        <v>6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9</v>
      </c>
      <c r="I1" s="2" t="s">
        <v>10</v>
      </c>
      <c r="J1" s="2" t="s">
        <v>22</v>
      </c>
      <c r="K1" s="2" t="s">
        <v>11</v>
      </c>
      <c r="L1" s="2" t="s">
        <v>12</v>
      </c>
    </row>
    <row r="2" spans="1:15" x14ac:dyDescent="0.4">
      <c r="A2" t="s">
        <v>7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4">
      <c r="A3" t="s">
        <v>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x14ac:dyDescent="0.4">
      <c r="A4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x14ac:dyDescent="0.4">
      <c r="A5" t="s">
        <v>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x14ac:dyDescent="0.4">
      <c r="A6" t="s">
        <v>7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x14ac:dyDescent="0.4">
      <c r="A7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5" x14ac:dyDescent="0.4">
      <c r="A8" t="s">
        <v>7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5" x14ac:dyDescent="0.4">
      <c r="A9" t="s">
        <v>7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5" x14ac:dyDescent="0.4">
      <c r="A10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5" x14ac:dyDescent="0.4">
      <c r="A11" t="s">
        <v>7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5" x14ac:dyDescent="0.4">
      <c r="A12" t="s">
        <v>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5" x14ac:dyDescent="0.4">
      <c r="A13" t="s">
        <v>7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5" x14ac:dyDescent="0.4">
      <c r="A14" t="s">
        <v>7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5" x14ac:dyDescent="0.4">
      <c r="A15" t="s">
        <v>7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5" x14ac:dyDescent="0.4">
      <c r="A16" t="s">
        <v>7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x14ac:dyDescent="0.4">
      <c r="A17" t="s">
        <v>7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x14ac:dyDescent="0.4">
      <c r="A18" t="s">
        <v>7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x14ac:dyDescent="0.4">
      <c r="A19" t="s">
        <v>7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x14ac:dyDescent="0.4">
      <c r="A20" t="s">
        <v>7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x14ac:dyDescent="0.4">
      <c r="A21" t="s">
        <v>7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x14ac:dyDescent="0.4">
      <c r="A22" t="s">
        <v>7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x14ac:dyDescent="0.4">
      <c r="A23" t="s">
        <v>7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x14ac:dyDescent="0.4">
      <c r="A24" t="s">
        <v>7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x14ac:dyDescent="0.4">
      <c r="A25" t="s">
        <v>7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x14ac:dyDescent="0.4">
      <c r="A26" t="s">
        <v>7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x14ac:dyDescent="0.4">
      <c r="A27" t="s">
        <v>7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x14ac:dyDescent="0.4">
      <c r="A28" t="s">
        <v>7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x14ac:dyDescent="0.4">
      <c r="A29" t="s">
        <v>7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x14ac:dyDescent="0.4">
      <c r="A30" t="s">
        <v>7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x14ac:dyDescent="0.4">
      <c r="A31" t="s">
        <v>7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x14ac:dyDescent="0.4">
      <c r="A32" t="s">
        <v>7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x14ac:dyDescent="0.4">
      <c r="A33" t="s">
        <v>7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x14ac:dyDescent="0.4">
      <c r="A34" t="s">
        <v>7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x14ac:dyDescent="0.4">
      <c r="A35" t="s">
        <v>7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x14ac:dyDescent="0.4">
      <c r="A36" t="s">
        <v>7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x14ac:dyDescent="0.4">
      <c r="A37" t="s">
        <v>7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x14ac:dyDescent="0.4">
      <c r="A38" t="s">
        <v>7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x14ac:dyDescent="0.4">
      <c r="A39" t="s">
        <v>7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x14ac:dyDescent="0.4">
      <c r="A40" t="s">
        <v>7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x14ac:dyDescent="0.4">
      <c r="B41" s="1"/>
      <c r="C41" s="1"/>
      <c r="D41" s="1"/>
      <c r="E41" s="1"/>
      <c r="F41" s="1"/>
      <c r="G41" s="1"/>
      <c r="H41" s="1"/>
    </row>
    <row r="42" spans="1:13" x14ac:dyDescent="0.4">
      <c r="B42" s="1"/>
      <c r="C42" s="1"/>
      <c r="D42" s="1"/>
      <c r="E42" s="1"/>
      <c r="F42" s="1"/>
      <c r="G42" s="1"/>
      <c r="H42" s="1"/>
    </row>
    <row r="43" spans="1:13" x14ac:dyDescent="0.4">
      <c r="B43" s="1"/>
      <c r="C43" s="1"/>
      <c r="D43" s="1"/>
      <c r="E43" s="1"/>
      <c r="F43" s="1"/>
      <c r="G43" s="1"/>
      <c r="H43" s="1"/>
    </row>
    <row r="44" spans="1:13" x14ac:dyDescent="0.4">
      <c r="B44" s="1"/>
      <c r="C44" s="1"/>
      <c r="D44" s="1"/>
      <c r="E44" s="1"/>
      <c r="F44" s="1"/>
      <c r="G44" s="1"/>
      <c r="H44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7.399999999999999" x14ac:dyDescent="0.4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I1"/>
  <sheetViews>
    <sheetView workbookViewId="0">
      <selection activeCell="I6" sqref="I6"/>
    </sheetView>
  </sheetViews>
  <sheetFormatPr defaultRowHeight="17.399999999999999" x14ac:dyDescent="0.4"/>
  <cols>
    <col min="1" max="1" width="5" bestFit="1" customWidth="1"/>
    <col min="2" max="3" width="6.796875" bestFit="1" customWidth="1"/>
    <col min="4" max="5" width="8.59765625" bestFit="1" customWidth="1"/>
    <col min="6" max="6" width="6.796875" bestFit="1" customWidth="1"/>
    <col min="7" max="7" width="8.59765625" bestFit="1" customWidth="1"/>
    <col min="8" max="9" width="17" bestFit="1" customWidth="1"/>
  </cols>
  <sheetData>
    <row r="1" spans="1:9" x14ac:dyDescent="0.4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s="1" t="s">
        <v>20</v>
      </c>
      <c r="I1" s="1" t="s">
        <v>21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workbookViewId="0"/>
  </sheetViews>
  <sheetFormatPr defaultRowHeight="17.399999999999999" x14ac:dyDescent="0.4"/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DC3"/>
  <sheetViews>
    <sheetView tabSelected="1" topLeftCell="AO1" zoomScale="70" zoomScaleNormal="70" workbookViewId="0">
      <selection activeCell="BD16" sqref="BD16"/>
    </sheetView>
  </sheetViews>
  <sheetFormatPr defaultRowHeight="17.399999999999999" x14ac:dyDescent="0.4"/>
  <cols>
    <col min="1" max="1" width="16.3984375" bestFit="1" customWidth="1"/>
    <col min="2" max="2" width="8.59765625" bestFit="1" customWidth="1"/>
    <col min="3" max="3" width="6.796875" bestFit="1" customWidth="1"/>
    <col min="4" max="6" width="8.59765625" bestFit="1" customWidth="1"/>
    <col min="7" max="7" width="6.796875" bestFit="1" customWidth="1"/>
    <col min="8" max="8" width="8.59765625" bestFit="1" customWidth="1"/>
    <col min="9" max="10" width="15" bestFit="1" customWidth="1"/>
    <col min="11" max="11" width="5" bestFit="1" customWidth="1"/>
    <col min="12" max="13" width="20.19921875" bestFit="1" customWidth="1"/>
    <col min="14" max="15" width="12.3984375" bestFit="1" customWidth="1"/>
    <col min="16" max="17" width="13.5" bestFit="1" customWidth="1"/>
    <col min="18" max="21" width="12.3984375" bestFit="1" customWidth="1"/>
    <col min="22" max="23" width="13.5" bestFit="1" customWidth="1"/>
    <col min="24" max="25" width="12.3984375" bestFit="1" customWidth="1"/>
    <col min="26" max="26" width="12.59765625" bestFit="1" customWidth="1"/>
    <col min="28" max="28" width="7" bestFit="1" customWidth="1"/>
    <col min="29" max="29" width="32.296875" bestFit="1" customWidth="1"/>
    <col min="30" max="30" width="16.296875" bestFit="1" customWidth="1"/>
    <col min="31" max="33" width="5" bestFit="1" customWidth="1"/>
    <col min="34" max="34" width="4.19921875" bestFit="1" customWidth="1"/>
    <col min="35" max="35" width="4.19921875" style="1" bestFit="1" customWidth="1"/>
    <col min="36" max="36" width="6.796875" bestFit="1" customWidth="1"/>
    <col min="37" max="37" width="9" bestFit="1" customWidth="1"/>
    <col min="38" max="38" width="8.59765625" bestFit="1" customWidth="1"/>
    <col min="39" max="39" width="10.8984375" bestFit="1" customWidth="1"/>
    <col min="40" max="40" width="10.296875" bestFit="1" customWidth="1"/>
    <col min="41" max="41" width="10.3984375" bestFit="1" customWidth="1"/>
    <col min="42" max="42" width="12.796875" bestFit="1" customWidth="1"/>
    <col min="43" max="44" width="13.3984375" bestFit="1" customWidth="1"/>
    <col min="45" max="45" width="12.3984375" bestFit="1" customWidth="1"/>
    <col min="46" max="47" width="9" bestFit="1" customWidth="1"/>
    <col min="48" max="48" width="8.59765625" bestFit="1" customWidth="1"/>
    <col min="49" max="49" width="10.8984375" bestFit="1" customWidth="1"/>
    <col min="50" max="50" width="10.296875" bestFit="1" customWidth="1"/>
    <col min="51" max="51" width="10.8984375" bestFit="1" customWidth="1"/>
    <col min="52" max="52" width="10.296875" bestFit="1" customWidth="1"/>
    <col min="53" max="54" width="9" bestFit="1" customWidth="1"/>
    <col min="55" max="55" width="10.8984375" bestFit="1" customWidth="1"/>
    <col min="56" max="56" width="10.296875" bestFit="1" customWidth="1"/>
    <col min="57" max="57" width="10.3984375" bestFit="1" customWidth="1"/>
    <col min="58" max="62" width="12.3984375" bestFit="1" customWidth="1"/>
    <col min="63" max="80" width="4.19921875" bestFit="1" customWidth="1"/>
    <col min="81" max="89" width="7" bestFit="1" customWidth="1"/>
    <col min="90" max="90" width="6.796875" bestFit="1" customWidth="1"/>
    <col min="91" max="91" width="9.09765625" bestFit="1" customWidth="1"/>
    <col min="92" max="92" width="10.3984375" bestFit="1" customWidth="1"/>
    <col min="93" max="95" width="8.59765625" bestFit="1" customWidth="1"/>
    <col min="96" max="96" width="7.796875" bestFit="1" customWidth="1"/>
    <col min="97" max="98" width="4.8984375" bestFit="1" customWidth="1"/>
    <col min="99" max="99" width="9" bestFit="1" customWidth="1"/>
    <col min="100" max="100" width="10.3984375" bestFit="1" customWidth="1"/>
    <col min="101" max="101" width="5" bestFit="1" customWidth="1"/>
    <col min="102" max="102" width="8.59765625" bestFit="1" customWidth="1"/>
    <col min="103" max="103" width="9" bestFit="1" customWidth="1"/>
    <col min="104" max="106" width="11.5" bestFit="1" customWidth="1"/>
    <col min="107" max="107" width="8.796875" customWidth="1"/>
  </cols>
  <sheetData>
    <row r="1" spans="1:107" ht="15" customHeight="1" x14ac:dyDescent="0.4">
      <c r="A1">
        <v>1</v>
      </c>
      <c r="B1">
        <f>A1+1</f>
        <v>2</v>
      </c>
      <c r="C1">
        <f t="shared" ref="C1:BN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>
        <f t="shared" si="0"/>
        <v>7</v>
      </c>
      <c r="H1">
        <f t="shared" si="0"/>
        <v>8</v>
      </c>
      <c r="I1">
        <f t="shared" si="0"/>
        <v>9</v>
      </c>
      <c r="J1">
        <f t="shared" si="0"/>
        <v>10</v>
      </c>
      <c r="K1">
        <f t="shared" si="0"/>
        <v>11</v>
      </c>
      <c r="L1">
        <f t="shared" si="0"/>
        <v>12</v>
      </c>
      <c r="M1">
        <f t="shared" si="0"/>
        <v>13</v>
      </c>
      <c r="N1">
        <f t="shared" si="0"/>
        <v>14</v>
      </c>
      <c r="O1">
        <f t="shared" si="0"/>
        <v>15</v>
      </c>
      <c r="P1">
        <f t="shared" si="0"/>
        <v>16</v>
      </c>
      <c r="Q1">
        <f t="shared" si="0"/>
        <v>17</v>
      </c>
      <c r="R1">
        <f t="shared" si="0"/>
        <v>18</v>
      </c>
      <c r="S1">
        <f t="shared" si="0"/>
        <v>19</v>
      </c>
      <c r="T1">
        <f t="shared" si="0"/>
        <v>20</v>
      </c>
      <c r="U1">
        <f t="shared" si="0"/>
        <v>21</v>
      </c>
      <c r="V1">
        <f t="shared" si="0"/>
        <v>22</v>
      </c>
      <c r="W1">
        <f t="shared" si="0"/>
        <v>23</v>
      </c>
      <c r="X1">
        <f t="shared" si="0"/>
        <v>24</v>
      </c>
      <c r="Y1">
        <f t="shared" si="0"/>
        <v>25</v>
      </c>
      <c r="Z1">
        <f t="shared" si="0"/>
        <v>26</v>
      </c>
      <c r="AA1">
        <f t="shared" si="0"/>
        <v>27</v>
      </c>
      <c r="AB1">
        <f t="shared" si="0"/>
        <v>28</v>
      </c>
      <c r="AC1">
        <f t="shared" si="0"/>
        <v>29</v>
      </c>
      <c r="AD1">
        <f t="shared" si="0"/>
        <v>30</v>
      </c>
      <c r="AE1">
        <f t="shared" si="0"/>
        <v>31</v>
      </c>
      <c r="AF1">
        <f t="shared" si="0"/>
        <v>32</v>
      </c>
      <c r="AG1">
        <f t="shared" si="0"/>
        <v>33</v>
      </c>
      <c r="AH1">
        <f t="shared" si="0"/>
        <v>34</v>
      </c>
      <c r="AI1">
        <f t="shared" si="0"/>
        <v>35</v>
      </c>
      <c r="AJ1">
        <f t="shared" si="0"/>
        <v>36</v>
      </c>
      <c r="AK1">
        <f t="shared" si="0"/>
        <v>37</v>
      </c>
      <c r="AL1">
        <f t="shared" si="0"/>
        <v>38</v>
      </c>
      <c r="AM1">
        <f t="shared" si="0"/>
        <v>39</v>
      </c>
      <c r="AN1">
        <f t="shared" si="0"/>
        <v>40</v>
      </c>
      <c r="AO1">
        <f t="shared" si="0"/>
        <v>41</v>
      </c>
      <c r="AP1">
        <f t="shared" si="0"/>
        <v>42</v>
      </c>
      <c r="AQ1">
        <f t="shared" si="0"/>
        <v>43</v>
      </c>
      <c r="AR1">
        <f t="shared" si="0"/>
        <v>44</v>
      </c>
      <c r="AS1">
        <f t="shared" si="0"/>
        <v>45</v>
      </c>
      <c r="AT1">
        <f t="shared" si="0"/>
        <v>46</v>
      </c>
      <c r="AU1">
        <f t="shared" si="0"/>
        <v>47</v>
      </c>
      <c r="AV1">
        <f t="shared" si="0"/>
        <v>48</v>
      </c>
      <c r="AW1">
        <f t="shared" si="0"/>
        <v>49</v>
      </c>
      <c r="AX1">
        <f t="shared" si="0"/>
        <v>50</v>
      </c>
      <c r="AY1">
        <f t="shared" si="0"/>
        <v>51</v>
      </c>
      <c r="AZ1">
        <f t="shared" si="0"/>
        <v>52</v>
      </c>
      <c r="BA1">
        <f t="shared" si="0"/>
        <v>53</v>
      </c>
      <c r="BB1">
        <f t="shared" si="0"/>
        <v>54</v>
      </c>
      <c r="BC1">
        <f t="shared" si="0"/>
        <v>55</v>
      </c>
      <c r="BD1">
        <f t="shared" si="0"/>
        <v>56</v>
      </c>
      <c r="BE1">
        <f t="shared" si="0"/>
        <v>57</v>
      </c>
      <c r="BF1">
        <f t="shared" si="0"/>
        <v>58</v>
      </c>
      <c r="BG1">
        <f t="shared" si="0"/>
        <v>59</v>
      </c>
      <c r="BH1">
        <f t="shared" si="0"/>
        <v>60</v>
      </c>
      <c r="BI1">
        <f t="shared" si="0"/>
        <v>61</v>
      </c>
      <c r="BJ1">
        <f t="shared" si="0"/>
        <v>62</v>
      </c>
      <c r="BK1">
        <f t="shared" si="0"/>
        <v>63</v>
      </c>
      <c r="BL1">
        <f t="shared" si="0"/>
        <v>64</v>
      </c>
      <c r="BM1">
        <f t="shared" si="0"/>
        <v>65</v>
      </c>
      <c r="BN1">
        <f t="shared" si="0"/>
        <v>66</v>
      </c>
      <c r="BO1">
        <f t="shared" ref="BO1:CX1" si="1">BN1+1</f>
        <v>67</v>
      </c>
      <c r="BP1">
        <f t="shared" si="1"/>
        <v>68</v>
      </c>
      <c r="BQ1">
        <f t="shared" si="1"/>
        <v>69</v>
      </c>
      <c r="BR1">
        <f t="shared" si="1"/>
        <v>70</v>
      </c>
      <c r="BS1">
        <f t="shared" si="1"/>
        <v>71</v>
      </c>
      <c r="BT1">
        <f t="shared" si="1"/>
        <v>72</v>
      </c>
      <c r="BU1">
        <f t="shared" si="1"/>
        <v>73</v>
      </c>
      <c r="BV1">
        <f t="shared" si="1"/>
        <v>74</v>
      </c>
      <c r="BW1">
        <f t="shared" si="1"/>
        <v>75</v>
      </c>
      <c r="BX1">
        <f t="shared" si="1"/>
        <v>76</v>
      </c>
      <c r="BY1">
        <f t="shared" si="1"/>
        <v>77</v>
      </c>
      <c r="BZ1">
        <f t="shared" si="1"/>
        <v>78</v>
      </c>
      <c r="CA1">
        <f t="shared" si="1"/>
        <v>79</v>
      </c>
      <c r="CB1">
        <f t="shared" si="1"/>
        <v>80</v>
      </c>
      <c r="CC1">
        <f t="shared" si="1"/>
        <v>81</v>
      </c>
      <c r="CD1">
        <f t="shared" si="1"/>
        <v>82</v>
      </c>
      <c r="CE1">
        <f t="shared" si="1"/>
        <v>83</v>
      </c>
      <c r="CF1">
        <f t="shared" si="1"/>
        <v>84</v>
      </c>
      <c r="CG1">
        <f t="shared" si="1"/>
        <v>85</v>
      </c>
      <c r="CH1">
        <f t="shared" si="1"/>
        <v>86</v>
      </c>
      <c r="CI1">
        <f t="shared" si="1"/>
        <v>87</v>
      </c>
      <c r="CJ1">
        <f t="shared" si="1"/>
        <v>88</v>
      </c>
      <c r="CK1">
        <f t="shared" si="1"/>
        <v>89</v>
      </c>
      <c r="CL1">
        <f t="shared" si="1"/>
        <v>90</v>
      </c>
      <c r="CM1">
        <f t="shared" si="1"/>
        <v>91</v>
      </c>
      <c r="CN1">
        <f t="shared" si="1"/>
        <v>92</v>
      </c>
      <c r="CO1">
        <f t="shared" si="1"/>
        <v>93</v>
      </c>
      <c r="CP1">
        <f t="shared" si="1"/>
        <v>94</v>
      </c>
      <c r="CQ1">
        <f t="shared" si="1"/>
        <v>95</v>
      </c>
      <c r="CR1">
        <f t="shared" si="1"/>
        <v>96</v>
      </c>
      <c r="CS1">
        <f t="shared" si="1"/>
        <v>97</v>
      </c>
      <c r="CT1">
        <f t="shared" si="1"/>
        <v>98</v>
      </c>
      <c r="CU1">
        <f t="shared" si="1"/>
        <v>99</v>
      </c>
      <c r="CV1">
        <f t="shared" si="1"/>
        <v>100</v>
      </c>
      <c r="CW1">
        <f t="shared" si="1"/>
        <v>101</v>
      </c>
      <c r="CX1">
        <f t="shared" si="1"/>
        <v>102</v>
      </c>
      <c r="CY1">
        <v>103</v>
      </c>
      <c r="CZ1">
        <v>104</v>
      </c>
      <c r="DA1">
        <v>105</v>
      </c>
      <c r="DB1">
        <v>106</v>
      </c>
      <c r="DC1">
        <v>107</v>
      </c>
    </row>
    <row r="2" spans="1:107" s="5" customFormat="1" ht="18" customHeight="1" x14ac:dyDescent="0.4">
      <c r="A2" s="6" t="s">
        <v>78</v>
      </c>
      <c r="B2" s="6" t="s">
        <v>79</v>
      </c>
      <c r="C2" s="6" t="s">
        <v>80</v>
      </c>
      <c r="D2" s="6" t="s">
        <v>6</v>
      </c>
      <c r="E2" s="6" t="s">
        <v>136</v>
      </c>
      <c r="F2" s="6" t="s">
        <v>8</v>
      </c>
      <c r="G2" s="6" t="s">
        <v>2</v>
      </c>
      <c r="H2" s="6" t="s">
        <v>81</v>
      </c>
      <c r="I2" s="6" t="s">
        <v>62</v>
      </c>
      <c r="J2" s="6" t="s">
        <v>63</v>
      </c>
      <c r="K2" s="6" t="s">
        <v>82</v>
      </c>
      <c r="L2" s="6" t="s">
        <v>64</v>
      </c>
      <c r="M2" s="6" t="s">
        <v>65</v>
      </c>
      <c r="N2" s="6" t="s">
        <v>66</v>
      </c>
      <c r="O2" s="6" t="s">
        <v>67</v>
      </c>
      <c r="P2" s="6" t="s">
        <v>68</v>
      </c>
      <c r="Q2" s="6" t="s">
        <v>69</v>
      </c>
      <c r="R2" s="6" t="s">
        <v>70</v>
      </c>
      <c r="S2" s="6" t="s">
        <v>71</v>
      </c>
      <c r="T2" s="6" t="s">
        <v>72</v>
      </c>
      <c r="U2" s="6" t="s">
        <v>73</v>
      </c>
      <c r="V2" s="6" t="s">
        <v>74</v>
      </c>
      <c r="W2" s="6" t="s">
        <v>75</v>
      </c>
      <c r="X2" s="6" t="s">
        <v>76</v>
      </c>
      <c r="Y2" s="6" t="s">
        <v>77</v>
      </c>
      <c r="Z2" s="6" t="s">
        <v>137</v>
      </c>
      <c r="AA2" s="6" t="s">
        <v>138</v>
      </c>
      <c r="AB2" s="6" t="s">
        <v>139</v>
      </c>
      <c r="AC2" s="6" t="s">
        <v>83</v>
      </c>
      <c r="AD2" s="6" t="s">
        <v>84</v>
      </c>
      <c r="AE2" s="6" t="s">
        <v>85</v>
      </c>
      <c r="AF2" s="6" t="s">
        <v>86</v>
      </c>
      <c r="AG2" s="6" t="s">
        <v>87</v>
      </c>
      <c r="AH2" s="6" t="s">
        <v>88</v>
      </c>
      <c r="AI2" s="6" t="s">
        <v>89</v>
      </c>
      <c r="AJ2" s="6" t="s">
        <v>90</v>
      </c>
      <c r="AK2" s="6" t="s">
        <v>91</v>
      </c>
      <c r="AL2" s="6" t="s">
        <v>92</v>
      </c>
      <c r="AM2" s="6" t="s">
        <v>93</v>
      </c>
      <c r="AN2" s="6" t="s">
        <v>94</v>
      </c>
      <c r="AO2" s="6" t="s">
        <v>95</v>
      </c>
      <c r="AP2" s="6" t="s">
        <v>96</v>
      </c>
      <c r="AQ2" s="6" t="s">
        <v>97</v>
      </c>
      <c r="AR2" s="6" t="s">
        <v>98</v>
      </c>
      <c r="AS2" s="6" t="s">
        <v>99</v>
      </c>
      <c r="AT2" s="6" t="s">
        <v>100</v>
      </c>
      <c r="AU2" s="6" t="s">
        <v>101</v>
      </c>
      <c r="AV2" s="6" t="s">
        <v>102</v>
      </c>
      <c r="AW2" s="6" t="s">
        <v>103</v>
      </c>
      <c r="AX2" s="6" t="s">
        <v>104</v>
      </c>
      <c r="AY2" s="6" t="s">
        <v>105</v>
      </c>
      <c r="AZ2" s="6" t="s">
        <v>106</v>
      </c>
      <c r="BA2" s="6" t="s">
        <v>107</v>
      </c>
      <c r="BB2" s="6" t="s">
        <v>108</v>
      </c>
      <c r="BC2" s="6" t="s">
        <v>109</v>
      </c>
      <c r="BD2" s="6" t="s">
        <v>110</v>
      </c>
      <c r="BE2" s="6" t="s">
        <v>111</v>
      </c>
      <c r="BF2" s="8" t="s">
        <v>142</v>
      </c>
      <c r="BG2" s="8" t="s">
        <v>143</v>
      </c>
      <c r="BH2" s="6" t="s">
        <v>131</v>
      </c>
      <c r="BI2" s="6" t="s">
        <v>132</v>
      </c>
      <c r="BJ2" s="6" t="s">
        <v>133</v>
      </c>
      <c r="BK2" s="6" t="s">
        <v>112</v>
      </c>
      <c r="BL2" s="6" t="s">
        <v>113</v>
      </c>
      <c r="BM2" s="6" t="s">
        <v>23</v>
      </c>
      <c r="BN2" s="6" t="s">
        <v>24</v>
      </c>
      <c r="BO2" s="6" t="s">
        <v>25</v>
      </c>
      <c r="BP2" s="6" t="s">
        <v>26</v>
      </c>
      <c r="BQ2" s="6" t="s">
        <v>27</v>
      </c>
      <c r="BR2" s="6" t="s">
        <v>28</v>
      </c>
      <c r="BS2" s="6" t="s">
        <v>29</v>
      </c>
      <c r="BT2" s="6" t="s">
        <v>114</v>
      </c>
      <c r="BU2" s="6" t="s">
        <v>30</v>
      </c>
      <c r="BV2" s="6" t="s">
        <v>31</v>
      </c>
      <c r="BW2" s="6" t="s">
        <v>32</v>
      </c>
      <c r="BX2" s="6" t="s">
        <v>33</v>
      </c>
      <c r="BY2" s="6" t="s">
        <v>34</v>
      </c>
      <c r="BZ2" s="6" t="s">
        <v>35</v>
      </c>
      <c r="CA2" s="6" t="s">
        <v>36</v>
      </c>
      <c r="CB2" s="6" t="s">
        <v>37</v>
      </c>
      <c r="CC2" s="6" t="s">
        <v>115</v>
      </c>
      <c r="CD2" s="6" t="s">
        <v>116</v>
      </c>
      <c r="CE2" s="6" t="s">
        <v>45</v>
      </c>
      <c r="CF2" s="6" t="s">
        <v>46</v>
      </c>
      <c r="CG2" s="6" t="s">
        <v>47</v>
      </c>
      <c r="CH2" s="6" t="s">
        <v>48</v>
      </c>
      <c r="CI2" s="6" t="s">
        <v>49</v>
      </c>
      <c r="CJ2" s="6" t="s">
        <v>50</v>
      </c>
      <c r="CK2" s="6" t="s">
        <v>51</v>
      </c>
      <c r="CL2" s="6" t="s">
        <v>117</v>
      </c>
      <c r="CM2" s="6" t="s">
        <v>118</v>
      </c>
      <c r="CN2" s="6" t="s">
        <v>119</v>
      </c>
      <c r="CO2" s="6" t="s">
        <v>120</v>
      </c>
      <c r="CP2" s="6" t="s">
        <v>121</v>
      </c>
      <c r="CQ2" s="6" t="s">
        <v>122</v>
      </c>
      <c r="CR2" s="6" t="s">
        <v>123</v>
      </c>
      <c r="CS2" s="6" t="s">
        <v>124</v>
      </c>
      <c r="CT2" s="6" t="s">
        <v>125</v>
      </c>
      <c r="CU2" s="6" t="s">
        <v>126</v>
      </c>
      <c r="CV2" s="6" t="s">
        <v>135</v>
      </c>
      <c r="CW2" s="6" t="s">
        <v>127</v>
      </c>
      <c r="CX2" s="6" t="s">
        <v>128</v>
      </c>
      <c r="CY2" s="6" t="s">
        <v>129</v>
      </c>
      <c r="CZ2" s="6" t="s">
        <v>134</v>
      </c>
      <c r="DA2" s="6" t="s">
        <v>140</v>
      </c>
      <c r="DB2" s="6" t="s">
        <v>130</v>
      </c>
      <c r="DC2" s="7" t="s">
        <v>141</v>
      </c>
    </row>
    <row r="3" spans="1:107" x14ac:dyDescent="0.4">
      <c r="A3" s="1" t="s">
        <v>61</v>
      </c>
      <c r="C3" s="1" t="str">
        <f>MID(SUBSTITUTE(B3,CHAR(10),""),4,1)&amp;"군"</f>
        <v>군</v>
      </c>
      <c r="P3" s="1" t="e">
        <f>MAX(SUBSTITUTE(N3,CHAR(10),""),SUBSTITUTE(O3,CHAR(10),""))</f>
        <v>#VALUE!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"/>
  <sheetViews>
    <sheetView workbookViewId="0">
      <selection activeCell="D10" sqref="D10"/>
    </sheetView>
  </sheetViews>
  <sheetFormatPr defaultRowHeight="17.399999999999999" x14ac:dyDescent="0.4"/>
  <sheetData/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16"/>
  <sheetViews>
    <sheetView workbookViewId="0">
      <selection activeCell="F15" sqref="F15"/>
    </sheetView>
  </sheetViews>
  <sheetFormatPr defaultRowHeight="17.399999999999999" x14ac:dyDescent="0.4"/>
  <sheetData>
    <row r="1" spans="1:1" x14ac:dyDescent="0.4">
      <c r="A1" t="s">
        <v>38</v>
      </c>
    </row>
    <row r="2" spans="1:1" x14ac:dyDescent="0.4">
      <c r="A2" s="4" t="s">
        <v>39</v>
      </c>
    </row>
    <row r="3" spans="1:1" x14ac:dyDescent="0.4">
      <c r="A3" t="s">
        <v>40</v>
      </c>
    </row>
    <row r="4" spans="1:1" x14ac:dyDescent="0.4">
      <c r="A4" t="s">
        <v>41</v>
      </c>
    </row>
    <row r="5" spans="1:1" x14ac:dyDescent="0.4">
      <c r="A5" t="s">
        <v>42</v>
      </c>
    </row>
    <row r="6" spans="1:1" x14ac:dyDescent="0.4">
      <c r="A6" t="s">
        <v>43</v>
      </c>
    </row>
    <row r="7" spans="1:1" x14ac:dyDescent="0.4">
      <c r="A7" t="s">
        <v>44</v>
      </c>
    </row>
    <row r="8" spans="1:1" x14ac:dyDescent="0.4">
      <c r="A8" t="s">
        <v>52</v>
      </c>
    </row>
    <row r="9" spans="1:1" x14ac:dyDescent="0.4">
      <c r="A9" t="s">
        <v>53</v>
      </c>
    </row>
    <row r="10" spans="1:1" x14ac:dyDescent="0.4">
      <c r="A10" t="s">
        <v>54</v>
      </c>
    </row>
    <row r="11" spans="1:1" x14ac:dyDescent="0.4">
      <c r="A11" t="s">
        <v>55</v>
      </c>
    </row>
    <row r="12" spans="1:1" x14ac:dyDescent="0.4">
      <c r="A12" t="s">
        <v>56</v>
      </c>
    </row>
    <row r="13" spans="1:1" x14ac:dyDescent="0.4">
      <c r="A13" t="s">
        <v>57</v>
      </c>
    </row>
    <row r="14" spans="1:1" x14ac:dyDescent="0.4">
      <c r="A14" t="s">
        <v>58</v>
      </c>
    </row>
    <row r="15" spans="1:1" x14ac:dyDescent="0.4">
      <c r="A15" t="s">
        <v>59</v>
      </c>
    </row>
    <row r="16" spans="1:1" x14ac:dyDescent="0.4">
      <c r="A16" t="s">
        <v>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25교과</vt:lpstr>
      <vt:lpstr>교과</vt:lpstr>
      <vt:lpstr>25종합</vt:lpstr>
      <vt:lpstr>종합</vt:lpstr>
      <vt:lpstr>26수능</vt:lpstr>
      <vt:lpstr>수능</vt:lpstr>
      <vt:lpstr>변환표준점수 사용대학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세종고</dc:creator>
  <cp:lastModifiedBy>jaiwookchang</cp:lastModifiedBy>
  <dcterms:created xsi:type="dcterms:W3CDTF">2025-06-12T23:53:51Z</dcterms:created>
  <dcterms:modified xsi:type="dcterms:W3CDTF">2026-09-29T01:05:23Z</dcterms:modified>
</cp:coreProperties>
</file>