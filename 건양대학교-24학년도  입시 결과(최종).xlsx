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findmyuniv data\findmyuniv_data_cleaning\"/>
    </mc:Choice>
  </mc:AlternateContent>
  <bookViews>
    <workbookView xWindow="0" yWindow="0" windowWidth="23040" windowHeight="8988" firstSheet="15" activeTab="22"/>
  </bookViews>
  <sheets>
    <sheet name="Sheet1" sheetId="1" r:id="rId1"/>
    <sheet name="Sheet2" sheetId="2" r:id="rId2"/>
    <sheet name="Sheet3" sheetId="3" r:id="rId3"/>
    <sheet name="Sheet4" sheetId="4" r:id="rId4"/>
    <sheet name="Sheet5" sheetId="5" r:id="rId5"/>
    <sheet name="Sheet6" sheetId="6" r:id="rId6"/>
    <sheet name="Sheet7" sheetId="7" r:id="rId7"/>
    <sheet name="Sheet8" sheetId="8" r:id="rId8"/>
    <sheet name="Sheet9" sheetId="9" r:id="rId9"/>
    <sheet name="Sheet10" sheetId="10" r:id="rId10"/>
    <sheet name="Sheet11" sheetId="11" r:id="rId11"/>
    <sheet name="Sheet12" sheetId="12" r:id="rId12"/>
    <sheet name="Sheet13" sheetId="13" r:id="rId13"/>
    <sheet name="Sheet14" sheetId="14" r:id="rId14"/>
    <sheet name="Sheet15" sheetId="15" r:id="rId15"/>
    <sheet name="Sheet16" sheetId="16" r:id="rId16"/>
    <sheet name="Sheet17" sheetId="17" r:id="rId17"/>
    <sheet name="Sheet18" sheetId="18" r:id="rId18"/>
    <sheet name="Sheet19" sheetId="19" r:id="rId19"/>
    <sheet name="Sheet20" sheetId="20" r:id="rId20"/>
    <sheet name="Sheet21" sheetId="21" r:id="rId21"/>
    <sheet name="Sheet22" sheetId="22" r:id="rId22"/>
    <sheet name="건양대학교-24학년도  입시 결과(최종)" sheetId="23" r:id="rId23"/>
  </sheets>
  <calcPr calcId="162913"/>
</workbook>
</file>

<file path=xl/calcChain.xml><?xml version="1.0" encoding="utf-8"?>
<calcChain xmlns="http://schemas.openxmlformats.org/spreadsheetml/2006/main">
  <c r="A3" i="23" l="1"/>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B3" i="23"/>
  <c r="B4" i="23" s="1"/>
  <c r="B5" i="23" s="1"/>
  <c r="B6" i="23" s="1"/>
  <c r="B7" i="23" s="1"/>
  <c r="B8" i="23" s="1"/>
  <c r="B9" i="23" s="1"/>
  <c r="B10" i="23" s="1"/>
  <c r="B11" i="23" s="1"/>
  <c r="B12" i="23" s="1"/>
  <c r="B13" i="23" s="1"/>
  <c r="B14" i="23" s="1"/>
  <c r="B15" i="23" s="1"/>
  <c r="B16" i="23" s="1"/>
  <c r="B17" i="23" s="1"/>
  <c r="B18" i="23" s="1"/>
  <c r="B19" i="23" s="1"/>
  <c r="B20" i="23" s="1"/>
  <c r="B21" i="23" s="1"/>
  <c r="B22" i="23" s="1"/>
  <c r="B23" i="23" s="1"/>
  <c r="B24" i="23" s="1"/>
  <c r="B25" i="23" s="1"/>
  <c r="B26" i="23" s="1"/>
  <c r="B27" i="23" s="1"/>
  <c r="B28" i="23" s="1"/>
  <c r="B29" i="23" s="1"/>
  <c r="B30" i="23" s="1"/>
  <c r="B31" i="23" s="1"/>
  <c r="B32" i="23" s="1"/>
  <c r="B33" i="23" s="1"/>
  <c r="B34" i="23" s="1"/>
  <c r="B35" i="23" s="1"/>
  <c r="B36" i="23" s="1"/>
  <c r="B37" i="23" s="1"/>
  <c r="C3" i="23"/>
  <c r="C4" i="23" s="1"/>
  <c r="C5" i="23" s="1"/>
  <c r="C6" i="23" s="1"/>
  <c r="C7" i="23" s="1"/>
  <c r="C8" i="23" s="1"/>
  <c r="C9" i="23" s="1"/>
  <c r="C10" i="23" s="1"/>
  <c r="C11" i="23" s="1"/>
  <c r="C12" i="23" s="1"/>
  <c r="C14" i="23"/>
  <c r="C15" i="23" s="1"/>
  <c r="C16" i="23" s="1"/>
  <c r="C17" i="23" s="1"/>
  <c r="C18" i="23" s="1"/>
  <c r="C19" i="23" s="1"/>
  <c r="C20" i="23" s="1"/>
  <c r="C21" i="23" s="1"/>
  <c r="C22" i="23" s="1"/>
  <c r="C23" i="23" s="1"/>
  <c r="C24" i="23" s="1"/>
  <c r="C25" i="23" s="1"/>
  <c r="C26" i="23" s="1"/>
  <c r="C27" i="23" s="1"/>
  <c r="C28" i="23" s="1"/>
  <c r="C29" i="23" s="1"/>
  <c r="C30" i="23" s="1"/>
  <c r="C31" i="23" s="1"/>
  <c r="C33" i="23"/>
  <c r="C34" i="23" s="1"/>
  <c r="C35" i="23" s="1"/>
  <c r="C36" i="23" s="1"/>
</calcChain>
</file>

<file path=xl/sharedStrings.xml><?xml version="1.0" encoding="utf-8"?>
<sst xmlns="http://schemas.openxmlformats.org/spreadsheetml/2006/main" count="1533" uniqueCount="841">
  <si>
    <t>메디컬캠퍼스[대전]</t>
  </si>
  <si>
    <t>단과대학</t>
  </si>
  <si>
    <t>모집단위</t>
  </si>
  <si>
    <t>의과대학</t>
  </si>
  <si>
    <t>의학과</t>
  </si>
  <si>
    <t>간호대학</t>
  </si>
  <si>
    <t>간호학과</t>
  </si>
  <si>
    <t>의과학계열</t>
  </si>
  <si>
    <t>작업치료학과</t>
  </si>
  <si>
    <t>병원경영학과</t>
  </si>
  <si>
    <t>안경광학과</t>
  </si>
  <si>
    <t>임상병리학과</t>
  </si>
  <si>
    <t>방사선학과</t>
  </si>
  <si>
    <t>치위생학과</t>
  </si>
  <si>
    <t>물리치료학과</t>
  </si>
  <si>
    <t>응급구조학과</t>
  </si>
  <si>
    <t>의료공과계열</t>
  </si>
  <si>
    <t>의공학과</t>
  </si>
  <si>
    <t>의료IT공학과</t>
  </si>
  <si>
    <t>의료공간디자인학과</t>
  </si>
  <si>
    <t>제약생명공학과</t>
  </si>
  <si>
    <t>의료신소재학과</t>
  </si>
  <si>
    <t>AI·SW융합대학</t>
  </si>
  <si>
    <t>인공지능학과</t>
  </si>
  <si>
    <t>창의융합캠퍼스[논산]</t>
  </si>
  <si>
    <t>기업소프트웨어학부</t>
  </si>
  <si>
    <t>스마트보안학과</t>
  </si>
  <si>
    <t>창의융합계열</t>
  </si>
  <si>
    <t>융합디자인학과</t>
  </si>
  <si>
    <t>임상의약학과</t>
  </si>
  <si>
    <t>의약바이오학과</t>
  </si>
  <si>
    <t>글로벌의료뷰티학과</t>
  </si>
  <si>
    <t>재난안전소방학과</t>
  </si>
  <si>
    <t>반도체공학과</t>
  </si>
  <si>
    <t>재활복지
계열</t>
  </si>
  <si>
    <t>심리상담치료학과</t>
  </si>
  <si>
    <t>아동교육학과</t>
  </si>
  <si>
    <t>유아교육과</t>
  </si>
  <si>
    <t>초등특수교육과</t>
  </si>
  <si>
    <t>중등특수교육과</t>
  </si>
  <si>
    <t>사회복지학과</t>
  </si>
  <si>
    <t>디지털콘텐츠학과</t>
  </si>
  <si>
    <t>시각디자인학과</t>
  </si>
  <si>
    <t>스포츠의학과</t>
  </si>
  <si>
    <t>재활퍼스널트레이닝학과</t>
  </si>
  <si>
    <t>글로벌
경영계열</t>
  </si>
  <si>
    <t>경영학부</t>
  </si>
  <si>
    <t>호텔관광학과</t>
  </si>
  <si>
    <t>금융세무학부</t>
  </si>
  <si>
    <t>군사경찰
계열</t>
  </si>
  <si>
    <t>국방경찰행정학부</t>
  </si>
  <si>
    <t>군사학과(남)</t>
  </si>
  <si>
    <t>군사학과(여)</t>
  </si>
  <si>
    <t>모집
시기</t>
  </si>
  <si>
    <t>전형
유형</t>
  </si>
  <si>
    <t>전형명</t>
  </si>
  <si>
    <t>모집
인원</t>
  </si>
  <si>
    <t>전형 방법</t>
  </si>
  <si>
    <t>수시</t>
  </si>
  <si>
    <t>학생부
교과</t>
  </si>
  <si>
    <t>의
학
과</t>
  </si>
  <si>
    <t>일반학생전형[최저]
지역인재전형[최저]
지역인재전형[기초]
농어촌학생전형</t>
  </si>
  <si>
    <t>10
10
2
2</t>
  </si>
  <si>
    <t>수능최저학력기준
적용</t>
  </si>
  <si>
    <t>· 1단계 : 학생부 교과 100%(5배수)
· 2단계 : 1단계 80% +면접 20%</t>
  </si>
  <si>
    <t>일반학생전형[면접]
지역인재전형[면접]</t>
  </si>
  <si>
    <t>5
10</t>
  </si>
  <si>
    <t>수능최저학력기준
미적용</t>
  </si>
  <si>
    <t>· 1단계 : 학생부 교과 100%(3배수)
· 2단계 : 1단계 80% +면접 20%</t>
  </si>
  <si>
    <t>일반학생전형[교과]
지역인재전형[교과]
지역인재전형[기초]
[※ 의학과 제외]</t>
  </si>
  <si>
    <t>990
182
4</t>
  </si>
  <si>
    <t>· 학생부 교과 100%</t>
  </si>
  <si>
    <t>군사학전형</t>
  </si>
  <si>
    <t>34</t>
  </si>
  <si>
    <t>· 1단계 : 학생부 교과 100%(5배수)
· 2단계 : 1단계 70%+체력검정 10%+면접 20%
※ 수능최저학력기준 적용</t>
  </si>
  <si>
    <t>농어촌학생전형
[※ 의학과 제외]
기초생활수급자, 차상위계층,
한부모가족 지원대상자전형
특성화고교졸업자전형
특수교육대상자전형</t>
  </si>
  <si>
    <t>61
17
6
3</t>
  </si>
  <si>
    <t>학생부
종합</t>
  </si>
  <si>
    <t>학생부종합전형</t>
  </si>
  <si>
    <t>210</t>
  </si>
  <si>
    <t>· 서류(학교생활기록부) 100%</t>
  </si>
  <si>
    <t>실기
/
실적
위주</t>
  </si>
  <si>
    <t>특기자전형
일반학생전형[실기]</t>
  </si>
  <si>
    <t>17
30</t>
  </si>
  <si>
    <t>· 학생부 교과 20% + 특기실적 80%
· 학생부 교과 20% + 전공실기 80%</t>
  </si>
  <si>
    <t>전형유형</t>
  </si>
  <si>
    <t>반영 과목</t>
  </si>
  <si>
    <t>· 국어, 수학, 영어 교과에서 이수한 전 과목
· 과학교과 중 학년/학기 구분 없이 최고 6개 과목
- 성적산출은 석차등급이 부여된 과목으로만 산출하고 진로선택과목은 단위수만
반영
- 진로선택과목 : 국어, 수학, 영어, 과학 교과에 해당하는 과목에 한함</t>
  </si>
  <si>
    <t>전 모집단위
(특성화고교졸업자전형 및 의학과 제외)</t>
  </si>
  <si>
    <t>· 학년/학기 구분 없이 국어, 수학, 영어, 사회(한국사 포함)/과학 각 교과별 최고 2
과목 [총 8과목 반영]</t>
  </si>
  <si>
    <t>특성화고교졸업자전형</t>
  </si>
  <si>
    <t>· 석차등급이 부여된 과목</t>
  </si>
  <si>
    <t>검정고시출신자</t>
  </si>
  <si>
    <t>· 국어, 영어, 수학, 사회, 과학, 한국사(국사) 과목 반영</t>
  </si>
  <si>
    <t>구 분</t>
  </si>
  <si>
    <t>산출지표</t>
  </si>
  <si>
    <t>산출방법</t>
  </si>
  <si>
    <t>2008년 2월 이후</t>
  </si>
  <si>
    <t>[과목별 등급]</t>
  </si>
  <si>
    <t>∑(반영과목등급×반영과목이수단위) ÷ ∑(반영과목이수단위)
※ 성적산출시 등급이 높은 과목이 우선 반영되며 이수단위 총합이 24단위(의학과는
75단위)를 충족하지 못할 경우라도 이수단위가 높은 과목을 선택할 수 없음
※ 반영 과목 총 이수단위가 24미만(의학과는 75미만)일 경우 등급 변환 점수에 0.97을 곱함
1. 의학과는 과학교과 중 반영 과목이 6개 미만일지라도 이수단위 75이상인자는 제외
2. 특성화고교졸업자전형 및 의학과를 제외한 모집전형 또는 모집단위는 총 반영과목이 8개 미
만 일지라도 이수단위 24이상인자는 제외
3. 진로선택과목이라도 등급이 존재할 경우 정상적으로 반영 가능</t>
  </si>
  <si>
    <t>2007년 2월 이전
(과목별 석차, 재적수가
없을 경우)</t>
  </si>
  <si>
    <t>[과목별 평어]
수: 1.5등급, 우: 3.5등급,
미: 5.5등급, 양: 7.5등급,
가: 9등급</t>
  </si>
  <si>
    <t>2007년 2월 이전
(과목별 석차, 재적수가
있을 경우)</t>
  </si>
  <si>
    <t>[석차, 재적수]</t>
  </si>
  <si>
    <t>특성화고교
졸업자</t>
  </si>
  <si>
    <t>[과목별 표준편차,
원점수, 과목평균]</t>
  </si>
  <si>
    <t>【평균백분위 = ∑(반영과목 백분위× 반영과목 이수단위)
/ ∑(반영과목 이수단위)】
※ 표준점수 및 백분위 산출 방법
【표준점수 = (원점수 - 과목평균) / 표준편차】
【백분위 = 표준정규분포 값 × 100】</t>
  </si>
  <si>
    <t>[과목별등급]
99이상: 1등급 96이상: 2등급
92이상: 3등급 87이상: 4등급
81이상: 5등급 76이상: 6등급
72이상: 7등급 69이상: 8등급
68이하: 9등급</t>
  </si>
  <si>
    <t>∑(과목별등급) ÷ ∑(과목 수)
※ 등급 변환 점수에 0.96를 곱함</t>
  </si>
  <si>
    <t>외국고교출신자 및 기타</t>
  </si>
  <si>
    <t>대학 자체기준으로 외국고교(기타고교) 성적을 환산하여 등급을 산출함</t>
  </si>
  <si>
    <t>【평균백분위 = ∑(반영과목 백분위× 반영과목 이수단위)</t>
  </si>
  <si>
    <t>/ ∑(반영과목 이수단위)</t>
  </si>
  <si>
    <t>】</t>
  </si>
  <si>
    <t>석차 등급</t>
  </si>
  <si>
    <t>1등급</t>
  </si>
  <si>
    <t>2등급</t>
  </si>
  <si>
    <t>3등급</t>
  </si>
  <si>
    <t>4등급</t>
  </si>
  <si>
    <t>5등급</t>
  </si>
  <si>
    <t>6등급</t>
  </si>
  <si>
    <t>7등급</t>
  </si>
  <si>
    <t>8등급</t>
  </si>
  <si>
    <t>9등급</t>
  </si>
  <si>
    <t>변환 점수(100점 만점)</t>
  </si>
  <si>
    <t>100</t>
  </si>
  <si>
    <t>98</t>
  </si>
  <si>
    <t>96</t>
  </si>
  <si>
    <t>94</t>
  </si>
  <si>
    <t>92</t>
  </si>
  <si>
    <t>90</t>
  </si>
  <si>
    <t>88</t>
  </si>
  <si>
    <t>86</t>
  </si>
  <si>
    <t>84</t>
  </si>
  <si>
    <t>지원
인원</t>
  </si>
  <si>
    <t>지원
율</t>
  </si>
  <si>
    <t>등록
인원</t>
  </si>
  <si>
    <t>학생부 등급</t>
  </si>
  <si>
    <t>최종
등록자
후보순위</t>
  </si>
  <si>
    <t>최고</t>
  </si>
  <si>
    <t>평균</t>
  </si>
  <si>
    <t>50%컷</t>
  </si>
  <si>
    <t>70%컷</t>
  </si>
  <si>
    <t>최저</t>
  </si>
  <si>
    <t>61 270 4.4 58</t>
  </si>
  <si>
    <t>1.00</t>
  </si>
  <si>
    <t>1.65</t>
  </si>
  <si>
    <t>1.70</t>
  </si>
  <si>
    <t>1.87</t>
  </si>
  <si>
    <t>2.15</t>
  </si>
  <si>
    <t>작업치료학과
병원경영학과
안경광학과
임상병리학과
방사선학과
치위생학과
물리치료학과
응급구조학과</t>
  </si>
  <si>
    <t>35 158 4.5 34
45 151 3.4 43
35 128 3.7 35
31 154 5.0 28
23 178 7.7 22
28 178 6.4 27
32 287 9.0 31
38 231 6.1 38</t>
  </si>
  <si>
    <t>3.14</t>
  </si>
  <si>
    <t>3.70</t>
  </si>
  <si>
    <t>3.74</t>
  </si>
  <si>
    <t>3.91</t>
  </si>
  <si>
    <t>4.22</t>
  </si>
  <si>
    <t>95
93
60
64
36
97
56
60</t>
  </si>
  <si>
    <t>2.12</t>
  </si>
  <si>
    <t>3.92</t>
  </si>
  <si>
    <t>3.96</t>
  </si>
  <si>
    <t>4.26</t>
  </si>
  <si>
    <t>5.25</t>
  </si>
  <si>
    <t>2.48</t>
  </si>
  <si>
    <t>4.15</t>
  </si>
  <si>
    <t>4.27</t>
  </si>
  <si>
    <t>4.47</t>
  </si>
  <si>
    <t>4.83</t>
  </si>
  <si>
    <t>2.21</t>
  </si>
  <si>
    <t>2.78</t>
  </si>
  <si>
    <t>2.84</t>
  </si>
  <si>
    <t>2.94</t>
  </si>
  <si>
    <t>3.16</t>
  </si>
  <si>
    <t>1.28</t>
  </si>
  <si>
    <t>2.36</t>
  </si>
  <si>
    <t>2.50</t>
  </si>
  <si>
    <t>2.64</t>
  </si>
  <si>
    <t>2.25</t>
  </si>
  <si>
    <t>3.13</t>
  </si>
  <si>
    <t>3.24</t>
  </si>
  <si>
    <t>3.38</t>
  </si>
  <si>
    <t>3.60</t>
  </si>
  <si>
    <t>2.03</t>
  </si>
  <si>
    <t>2.17</t>
  </si>
  <si>
    <t>2.24</t>
  </si>
  <si>
    <t>2.38</t>
  </si>
  <si>
    <t>1.58</t>
  </si>
  <si>
    <t>2.89</t>
  </si>
  <si>
    <t>3.12</t>
  </si>
  <si>
    <t>3.30</t>
  </si>
  <si>
    <t>의공학과
의료IT공학과
의료공간디자인학과
제약생명공학과
의료신소재학과</t>
  </si>
  <si>
    <t>40 121 3.0 38
33 121 3.7 32
25 87 3.5 24
43 198 4.6 42
37 111 3.0 32</t>
  </si>
  <si>
    <t>2.40</t>
  </si>
  <si>
    <t>4.42</t>
  </si>
  <si>
    <t>4.50</t>
  </si>
  <si>
    <t>4.74</t>
  </si>
  <si>
    <t>5.38</t>
  </si>
  <si>
    <t>71
51
46
111
69</t>
  </si>
  <si>
    <t>3.50</t>
  </si>
  <si>
    <t>4.76</t>
  </si>
  <si>
    <t>5.07</t>
  </si>
  <si>
    <t>5.41</t>
  </si>
  <si>
    <t>4.94</t>
  </si>
  <si>
    <t>5.03</t>
  </si>
  <si>
    <t>5.31</t>
  </si>
  <si>
    <t>5.72</t>
  </si>
  <si>
    <t>3.44</t>
  </si>
  <si>
    <t>3.51</t>
  </si>
  <si>
    <t>3.88</t>
  </si>
  <si>
    <t>5.20</t>
  </si>
  <si>
    <t>5.12</t>
  </si>
  <si>
    <t>5.67</t>
  </si>
  <si>
    <t>6.63</t>
  </si>
  <si>
    <t>인공지능학과
기업소프트웨어학부
스마트보안학과</t>
  </si>
  <si>
    <t>35 94 2.7 27
25 55 2.2 20
30 50 1.7 13</t>
  </si>
  <si>
    <t>3.26</t>
  </si>
  <si>
    <t>5.37</t>
  </si>
  <si>
    <t>5.50</t>
  </si>
  <si>
    <t>5.98</t>
  </si>
  <si>
    <t>6.94</t>
  </si>
  <si>
    <t>59
30
20</t>
  </si>
  <si>
    <t>5.14</t>
  </si>
  <si>
    <t>5.04</t>
  </si>
  <si>
    <t>5.93</t>
  </si>
  <si>
    <t>7.41</t>
  </si>
  <si>
    <t>3.69</t>
  </si>
  <si>
    <t>5.32</t>
  </si>
  <si>
    <t>5.39</t>
  </si>
  <si>
    <t>5.79</t>
  </si>
  <si>
    <t>융합디자인학과
임상의약학과
의약바이오학과
글로벌의료뷰티학과
재난안전소방학과
반도체공학과</t>
  </si>
  <si>
    <t>20 45 2.3 13
15 42 2.8 9
29 79 2.7 13
12 76 6.3 8
25 124 5.0 19
25 45 1.8 10</t>
  </si>
  <si>
    <t>3.57</t>
  </si>
  <si>
    <t>5.21</t>
  </si>
  <si>
    <t>6.17</t>
  </si>
  <si>
    <t>6.90</t>
  </si>
  <si>
    <t>25
27
50
64
99
20</t>
  </si>
  <si>
    <t>4.37</t>
  </si>
  <si>
    <t>5.30</t>
  </si>
  <si>
    <t>6.34</t>
  </si>
  <si>
    <t>2.76</t>
  </si>
  <si>
    <t>4.87</t>
  </si>
  <si>
    <t>5.51</t>
  </si>
  <si>
    <t>6.47</t>
  </si>
  <si>
    <t>5.42</t>
  </si>
  <si>
    <t>5.81</t>
  </si>
  <si>
    <t>6.22</t>
  </si>
  <si>
    <t>6.29</t>
  </si>
  <si>
    <t>5.10</t>
  </si>
  <si>
    <t>5.13</t>
  </si>
  <si>
    <t>5.40</t>
  </si>
  <si>
    <t>6.38</t>
  </si>
  <si>
    <t>4.43</t>
  </si>
  <si>
    <t>5.63</t>
  </si>
  <si>
    <t>5.46</t>
  </si>
  <si>
    <t>5.85</t>
  </si>
  <si>
    <t>7.31</t>
  </si>
  <si>
    <t>심리상담치료학과
아동교육학과
유아교육과
초등특수교육과
중등특수교육과
사회복지학과
디지털콘텐츠학과
시각디자인학과
스포츠의학과</t>
  </si>
  <si>
    <t>15 74 4.9 13
8 31 3.9 3
12 47 3.9 8
20 48 2.4 2
15 33 2.2 2
20 121 6.1 13
17 97 5.7 9
23 83 3.6 23
15 54 3.6 14</t>
  </si>
  <si>
    <t>3.25</t>
  </si>
  <si>
    <t>4.57</t>
  </si>
  <si>
    <t>4.16</t>
  </si>
  <si>
    <t>4.67</t>
  </si>
  <si>
    <t>7.64</t>
  </si>
  <si>
    <t>59
23
35
28
18
101
80
52
24</t>
  </si>
  <si>
    <t>4.68</t>
  </si>
  <si>
    <t>5.19</t>
  </si>
  <si>
    <t>4.77</t>
  </si>
  <si>
    <t>5.86</t>
  </si>
  <si>
    <t>6.13</t>
  </si>
  <si>
    <t>3.75</t>
  </si>
  <si>
    <t>6.31</t>
  </si>
  <si>
    <t>5.59</t>
  </si>
  <si>
    <t>5.80</t>
  </si>
  <si>
    <t>6.00</t>
  </si>
  <si>
    <t>3.52</t>
  </si>
  <si>
    <t>4.41</t>
  </si>
  <si>
    <t>4.93</t>
  </si>
  <si>
    <t>5.00</t>
  </si>
  <si>
    <t>7.80</t>
  </si>
  <si>
    <t>3.27</t>
  </si>
  <si>
    <t>4.75</t>
  </si>
  <si>
    <t>5.66</t>
  </si>
  <si>
    <t>3.68</t>
  </si>
  <si>
    <t>5.28</t>
  </si>
  <si>
    <t>5.61</t>
  </si>
  <si>
    <t>6.09</t>
  </si>
  <si>
    <t>2.77</t>
  </si>
  <si>
    <t>3.81</t>
  </si>
  <si>
    <t>3.89</t>
  </si>
  <si>
    <t>4.52</t>
  </si>
  <si>
    <t>경영학부
호텔관광학과
금융세무학부</t>
  </si>
  <si>
    <t>30 116 3.9 16
24 60 2.5 6
27 40 1.5 11</t>
  </si>
  <si>
    <t>4.19</t>
  </si>
  <si>
    <t>5.49</t>
  </si>
  <si>
    <t>5.29</t>
  </si>
  <si>
    <t>5.90</t>
  </si>
  <si>
    <t>7.13</t>
  </si>
  <si>
    <t>86
36
13</t>
  </si>
  <si>
    <t>3.55</t>
  </si>
  <si>
    <t>5.17</t>
  </si>
  <si>
    <t>5.56</t>
  </si>
  <si>
    <t>6.12</t>
  </si>
  <si>
    <t>2.68</t>
  </si>
  <si>
    <t>5.94</t>
  </si>
  <si>
    <t>42 212 5.0 40</t>
  </si>
  <si>
    <t>5.89</t>
  </si>
  <si>
    <t>168</t>
  </si>
  <si>
    <t>30 716 23.9 30</t>
  </si>
  <si>
    <t>1.85</t>
  </si>
  <si>
    <t>2.37</t>
  </si>
  <si>
    <t>2.53</t>
  </si>
  <si>
    <t>2.86</t>
  </si>
  <si>
    <t>18</t>
  </si>
  <si>
    <t>20 119 6.0 19
5 22 4.4 5
10 36 3.6 9
5 130 26.0 5
14 189 13.5 14
10 123 12.3 10
7 216 30.9 7
7 63 9.0 6</t>
  </si>
  <si>
    <t>3.41</t>
  </si>
  <si>
    <t>4.63</t>
  </si>
  <si>
    <t>4.69</t>
  </si>
  <si>
    <t>5.77</t>
  </si>
  <si>
    <t>28
2
23
4
10
12
4
3</t>
  </si>
  <si>
    <t>4.29</t>
  </si>
  <si>
    <t>4.46</t>
  </si>
  <si>
    <t>4.33</t>
  </si>
  <si>
    <t>4.62</t>
  </si>
  <si>
    <t>4.00</t>
  </si>
  <si>
    <t>5.26</t>
  </si>
  <si>
    <t>5.64</t>
  </si>
  <si>
    <t>5.84</t>
  </si>
  <si>
    <t>6.14</t>
  </si>
  <si>
    <t>2.61</t>
  </si>
  <si>
    <t>2.96</t>
  </si>
  <si>
    <t>3.00</t>
  </si>
  <si>
    <t>3.15</t>
  </si>
  <si>
    <t>3.49</t>
  </si>
  <si>
    <t>3.65</t>
  </si>
  <si>
    <t>3.58</t>
  </si>
  <si>
    <t>3.79</t>
  </si>
  <si>
    <t>4.07</t>
  </si>
  <si>
    <t>2.55</t>
  </si>
  <si>
    <t>2.88</t>
  </si>
  <si>
    <t>3.67</t>
  </si>
  <si>
    <t>4.13</t>
  </si>
  <si>
    <t>의공학과
의료IT공학과
의료공간디자인학과
제약생명공학과
기업소프트웨어학부</t>
  </si>
  <si>
    <t>7 29 4.1 7
5 14 2.8 4
8 15 1.9 7
5 30 6.0 5
3 5 1.7 3</t>
  </si>
  <si>
    <t>5.16</t>
  </si>
  <si>
    <t>6.55</t>
  </si>
  <si>
    <t>3
4
7
1
2</t>
  </si>
  <si>
    <t>5.75</t>
  </si>
  <si>
    <t>6.03</t>
  </si>
  <si>
    <t>6.18</t>
  </si>
  <si>
    <t>6.24</t>
  </si>
  <si>
    <t>6.30</t>
  </si>
  <si>
    <t>3.90</t>
  </si>
  <si>
    <t>4.24</t>
  </si>
  <si>
    <t>4.55</t>
  </si>
  <si>
    <t>6.10</t>
  </si>
  <si>
    <t>7.70</t>
  </si>
  <si>
    <t>8.25</t>
  </si>
  <si>
    <t>임상의약학과
재난안전소방학과</t>
  </si>
  <si>
    <t>10 22 2.2 8
5 19 3.8 5</t>
  </si>
  <si>
    <t>3.77</t>
  </si>
  <si>
    <t>4.86</t>
  </si>
  <si>
    <t>5.54</t>
  </si>
  <si>
    <t>12
13</t>
  </si>
  <si>
    <t>3.37</t>
  </si>
  <si>
    <t>5.47</t>
  </si>
  <si>
    <t>6.01</t>
  </si>
  <si>
    <t>심리상담치료학과
유아교육과
초등특수교육과
중등특수교육과
사회복지학과
스포츠의학과</t>
  </si>
  <si>
    <t>15 62 4.1 15
8 61 7.6 7
10 18 1.8 4
5 10 2.0 2
8 21 2.6 7
10 59 5.9 10</t>
  </si>
  <si>
    <t>3.80</t>
  </si>
  <si>
    <t>4.34</t>
  </si>
  <si>
    <t>18
33
8
5
13
30</t>
  </si>
  <si>
    <t>4.38</t>
  </si>
  <si>
    <t>4.91</t>
  </si>
  <si>
    <t>4.88</t>
  </si>
  <si>
    <t>5.48</t>
  </si>
  <si>
    <t>6.23</t>
  </si>
  <si>
    <t>6.93</t>
  </si>
  <si>
    <t>5.83</t>
  </si>
  <si>
    <t>6.77</t>
  </si>
  <si>
    <t>4.79</t>
  </si>
  <si>
    <t>6.25</t>
  </si>
  <si>
    <t>3 9 3.0 1</t>
  </si>
  <si>
    <t>6</t>
  </si>
  <si>
    <t>간호학과[지역(교과)]
간호학과[지역(기초)]</t>
  </si>
  <si>
    <t>57 249 4.4 55
4 20 5.0 4</t>
  </si>
  <si>
    <t>1.25</t>
  </si>
  <si>
    <t>1.99</t>
  </si>
  <si>
    <t>2.20</t>
  </si>
  <si>
    <t>2.34</t>
  </si>
  <si>
    <t>101
10</t>
  </si>
  <si>
    <t>2.63</t>
  </si>
  <si>
    <t>2.57</t>
  </si>
  <si>
    <t>2.83</t>
  </si>
  <si>
    <t>3.03</t>
  </si>
  <si>
    <t>병원경영학과
임상병리학과</t>
  </si>
  <si>
    <t>5 24 4.8 5
10 73 7.3 10</t>
  </si>
  <si>
    <t>4.05</t>
  </si>
  <si>
    <t>4.10</t>
  </si>
  <si>
    <t>3
18</t>
  </si>
  <si>
    <t>2.75</t>
  </si>
  <si>
    <t>의공학과
의료IT공학과
의료공간디자인학과
제약생명공학과</t>
  </si>
  <si>
    <t>10 34 3.4 10
10 27 2.7 9
15 39 2.6 15
10 47 4.7 10</t>
  </si>
  <si>
    <t>3.17</t>
  </si>
  <si>
    <t>4.44</t>
  </si>
  <si>
    <t>4.49</t>
  </si>
  <si>
    <t>4.97</t>
  </si>
  <si>
    <t>5.22</t>
  </si>
  <si>
    <t>17
16
21
20</t>
  </si>
  <si>
    <t>5.06</t>
  </si>
  <si>
    <t>5.53</t>
  </si>
  <si>
    <t>4.99</t>
  </si>
  <si>
    <t>5.45</t>
  </si>
  <si>
    <t>6.74</t>
  </si>
  <si>
    <t>2.90</t>
  </si>
  <si>
    <t>3.71</t>
  </si>
  <si>
    <t>3.83</t>
  </si>
  <si>
    <t>4.03</t>
  </si>
  <si>
    <t>기업소프트웨어학부
스마트보안학과</t>
  </si>
  <si>
    <t>5 9 1.8 3
5 13 2.6 -</t>
  </si>
  <si>
    <t>5.62</t>
  </si>
  <si>
    <t>5.65</t>
  </si>
  <si>
    <t>7.03</t>
  </si>
  <si>
    <t>7.38</t>
  </si>
  <si>
    <t>4
8</t>
  </si>
  <si>
    <t>등록자 없음</t>
  </si>
  <si>
    <t>12 49 4.1 9</t>
  </si>
  <si>
    <t>5.27</t>
  </si>
  <si>
    <t>6.07</t>
  </si>
  <si>
    <t>6.53</t>
  </si>
  <si>
    <t>37</t>
  </si>
  <si>
    <t>심리상담치료학과
아동교육학과
사회복지학과
디지털콘텐츠학과</t>
  </si>
  <si>
    <t>10 51 5.1 10
11 47 4.3 2
12 32 2.7 8
5 21 4.2 5</t>
  </si>
  <si>
    <t>4.14</t>
  </si>
  <si>
    <t>29
36
20
16</t>
  </si>
  <si>
    <t>6.97</t>
  </si>
  <si>
    <t>7.22</t>
  </si>
  <si>
    <t>5.95</t>
  </si>
  <si>
    <t>6.66</t>
  </si>
  <si>
    <t>5 20 4.0 4</t>
  </si>
  <si>
    <t>4.90</t>
  </si>
  <si>
    <t>15</t>
  </si>
  <si>
    <t>군사학과(남)
군사학과(여)</t>
  </si>
  <si>
    <t>27 72 2.7 11
7 21 3.0 5</t>
  </si>
  <si>
    <t>4.60</t>
  </si>
  <si>
    <t>5.08</t>
  </si>
  <si>
    <t>-
-</t>
  </si>
  <si>
    <t>3.43</t>
  </si>
  <si>
    <t>일반학생전형[최저]
일반학생전형[면접]
지역인재전형[최저]
지역인재전형[면접]
지역인재전형[기초]
농어촌학생전형</t>
  </si>
  <si>
    <t>10 262 26.2 10
5 71 14.2 4
10 219 21.9 10
10 70 7.0 10
2 17 8.5 -
2 43 21.5 2</t>
  </si>
  <si>
    <t>1.06</t>
  </si>
  <si>
    <t>1.13</t>
  </si>
  <si>
    <t>1.16</t>
  </si>
  <si>
    <t>1.19</t>
  </si>
  <si>
    <t>9
1
15
2
-
-</t>
  </si>
  <si>
    <t>1.12</t>
  </si>
  <si>
    <t>1.18</t>
  </si>
  <si>
    <t>1.20</t>
  </si>
  <si>
    <t>1.26</t>
  </si>
  <si>
    <t>1.07</t>
  </si>
  <si>
    <t>1.09</t>
  </si>
  <si>
    <t>1.15</t>
  </si>
  <si>
    <t>1.32</t>
  </si>
  <si>
    <t>1.34</t>
  </si>
  <si>
    <t>1.36</t>
  </si>
  <si>
    <t>3 18 6.0 3</t>
  </si>
  <si>
    <t>2.27</t>
  </si>
  <si>
    <t>2.28</t>
  </si>
  <si>
    <t>2</t>
  </si>
  <si>
    <t>2 22 11.0 2
4 26 6.5 4
3 6 2.0 2
2 14 7.0 2
4 38 9.5 4
3 22 7.3 3
2 34 17.0 2
2 11 5.5 2</t>
  </si>
  <si>
    <t>3.63</t>
  </si>
  <si>
    <t>3
12
3
4
6
2
5
5</t>
  </si>
  <si>
    <t>4.12</t>
  </si>
  <si>
    <t>4.20</t>
  </si>
  <si>
    <t>4.18</t>
  </si>
  <si>
    <t>4.30</t>
  </si>
  <si>
    <t>3.04</t>
  </si>
  <si>
    <t>2.87</t>
  </si>
  <si>
    <t>2.99</t>
  </si>
  <si>
    <t>2.73</t>
  </si>
  <si>
    <t>2.91</t>
  </si>
  <si>
    <t>3.01</t>
  </si>
  <si>
    <t>1.54</t>
  </si>
  <si>
    <t>2.05</t>
  </si>
  <si>
    <t>2.56</t>
  </si>
  <si>
    <t>의공학과
의료IT공학과
제약생명공학과
의료신소재학과</t>
  </si>
  <si>
    <t>2 6 3.0 1
2 7 3.5 2
3 19 6.3 3
2 2 1.0 1</t>
  </si>
  <si>
    <t>1
1
4
-</t>
  </si>
  <si>
    <t>5.76</t>
  </si>
  <si>
    <t>4.02</t>
  </si>
  <si>
    <t>1 1 1.0 -</t>
  </si>
  <si>
    <t>-</t>
  </si>
  <si>
    <t>1 2 2.0 1
2 9 4.5 2</t>
  </si>
  <si>
    <t>5.68</t>
  </si>
  <si>
    <t>-
4</t>
  </si>
  <si>
    <t>5.70</t>
  </si>
  <si>
    <t>5.92</t>
  </si>
  <si>
    <t>2 8 4.0 2
2 3 1.5 1
2 8 4.0 1
1 2 2.0 1
1 1 1.0 -
2 10 5.0 2
1 1 1.0 1
1 2 2.0 -
2 20 10.0 2</t>
  </si>
  <si>
    <t>4.82</t>
  </si>
  <si>
    <t>4
-
6
-
-
-
-
-
3</t>
  </si>
  <si>
    <t>6.50</t>
  </si>
  <si>
    <t>7.17</t>
  </si>
  <si>
    <t>4.58</t>
  </si>
  <si>
    <t>4.53</t>
  </si>
  <si>
    <t>4.56</t>
  </si>
  <si>
    <t>4.59</t>
  </si>
  <si>
    <t>1 1 1.0 -
2 3 1.5 -
2 2 1.0 -</t>
  </si>
  <si>
    <t>-
-
-</t>
  </si>
  <si>
    <t>4 10 2.5 1</t>
  </si>
  <si>
    <t>4 39 9.8 4</t>
  </si>
  <si>
    <t>2.04</t>
  </si>
  <si>
    <t>2.11</t>
  </si>
  <si>
    <t>2.16</t>
  </si>
  <si>
    <t>2.19</t>
  </si>
  <si>
    <t>병원경영학과
임상병리학과
치위생학과
물리치료학과
응급구조학과</t>
  </si>
  <si>
    <t>1 6 6.0 1
2 16 8.0 2
2 13 6.5 1
2 31 15.5 2
2 19 9.5 2</t>
  </si>
  <si>
    <t>3
5
1
2
-</t>
  </si>
  <si>
    <t>3.48</t>
  </si>
  <si>
    <t>2.62</t>
  </si>
  <si>
    <t>2.70</t>
  </si>
  <si>
    <t>2.42</t>
  </si>
  <si>
    <t>2.98</t>
  </si>
  <si>
    <t>3.53</t>
  </si>
  <si>
    <t>1 2 2.0 -</t>
  </si>
  <si>
    <t>1 5 5.0 -</t>
  </si>
  <si>
    <t>4</t>
  </si>
  <si>
    <t>2 5 2.5 1</t>
  </si>
  <si>
    <t>1</t>
  </si>
  <si>
    <t>17 88 5.2 15</t>
  </si>
  <si>
    <t>5.78</t>
  </si>
  <si>
    <t>6.72</t>
  </si>
  <si>
    <t>7.61</t>
  </si>
  <si>
    <t>69</t>
  </si>
  <si>
    <t>30 157 5.2 30</t>
  </si>
  <si>
    <t>4.48</t>
  </si>
  <si>
    <t>6.21</t>
  </si>
  <si>
    <t>7.71</t>
  </si>
  <si>
    <t>45</t>
  </si>
  <si>
    <t>구분</t>
  </si>
  <si>
    <t>반영
영역
수</t>
  </si>
  <si>
    <t>수능 반영 영역(반영지표 : 백분위)
[※ 영어는 등급변환점수로 환산하여 반영]</t>
  </si>
  <si>
    <t>비고</t>
  </si>
  <si>
    <t>국어</t>
  </si>
  <si>
    <t>수학</t>
  </si>
  <si>
    <t>영어</t>
  </si>
  <si>
    <t>사탐/과탐</t>
  </si>
  <si>
    <t>전 모집단위</t>
  </si>
  <si>
    <t>3</t>
  </si>
  <si>
    <t>33.3%</t>
  </si>
  <si>
    <t>사탐/과탐
33.3%</t>
  </si>
  <si>
    <t>국어, 수학, 영어, 탐구(1과목) 중
최고 3개 영역 합</t>
  </si>
  <si>
    <t>20%</t>
  </si>
  <si>
    <t>30%</t>
  </si>
  <si>
    <t>과탐
30%</t>
  </si>
  <si>
    <t>국어, 수학, 영어,
과탐(2과목 평균) 4개 영역 합</t>
  </si>
  <si>
    <t>· 선택과목에 따른 가산점 미적용
· 한국사는 필수 응시 과목[※ 지원 자격]
· 의학과를 제외한 전 모집단위는 탐구 반영시 최고 1개 과목만 반영 가능</t>
  </si>
  <si>
    <t>군사학과</t>
  </si>
  <si>
    <t>95</t>
  </si>
  <si>
    <t>85</t>
  </si>
  <si>
    <t>80</t>
  </si>
  <si>
    <t>75</t>
  </si>
  <si>
    <t>70</t>
  </si>
  <si>
    <t>65</t>
  </si>
  <si>
    <t>60</t>
  </si>
  <si>
    <t>전형</t>
  </si>
  <si>
    <t>만점
기준</t>
  </si>
  <si>
    <t>수능점수 산출 방법</t>
  </si>
  <si>
    <t>일반
학생
전형
[수능]</t>
  </si>
  <si>
    <t>전 모집단위
(의학과 제외)</t>
  </si>
  <si>
    <t>1,000점</t>
  </si>
  <si>
    <t>{(국어, 수학, 영어, 탐구(1과목) 중 상위 3개 영역 백분위 합)÷3}×10</t>
  </si>
  <si>
    <t>(국어 백분위×2)+(수학 백분위×3)+(영어 변환 점수×2)+(과탐 평균 백분위×3)</t>
  </si>
  <si>
    <t>군사학
전형</t>
  </si>
  <si>
    <t>700점</t>
  </si>
  <si>
    <t>{(국어, 수학, 영어, 탐구(1과목) 중 상위 3개 영역 백분위 합)÷3}×7</t>
  </si>
  <si>
    <t>모집
군</t>
  </si>
  <si>
    <t>모집인원</t>
  </si>
  <si>
    <t>수능백분위(300점 만점)
※의학과는 400점 만점</t>
  </si>
  <si>
    <t>최종
등록자
후보
순위</t>
  </si>
  <si>
    <t>기존</t>
  </si>
  <si>
    <t>이월
반영</t>
  </si>
  <si>
    <t>가</t>
  </si>
  <si>
    <t>의학과
작업치료학과
안경광학과
임상병리학과
방사선학과
치위생학과
물리치료학과
응급구조학과
심리상담치료학과
유아교육과
국방경찰행정학부</t>
  </si>
  <si>
    <t>12 14 97 6.9 14
5 7 33 4.7 7
5 6 30 5.0 6
7 7 37 5.3 9
7 7 43 6.1 8
7 8 37 4.6 8
10 11 78 7.1 11
5 5 36 7.2 6
5 7 37 5.3 7
- 5 9 1.8 4
7 8 42 5.3 9</t>
  </si>
  <si>
    <t>395.20</t>
  </si>
  <si>
    <t>394.13</t>
  </si>
  <si>
    <t>394.20</t>
  </si>
  <si>
    <t>393.80</t>
  </si>
  <si>
    <t>392.8</t>
  </si>
  <si>
    <t>35
6
3
13
6
13
10
5
13
2
17</t>
  </si>
  <si>
    <t>242.00</t>
  </si>
  <si>
    <t>237.71</t>
  </si>
  <si>
    <t>240.00</t>
  </si>
  <si>
    <t>235.00</t>
  </si>
  <si>
    <t>229.00</t>
  </si>
  <si>
    <t>267.00</t>
  </si>
  <si>
    <t>250.50</t>
  </si>
  <si>
    <t>246.50</t>
  </si>
  <si>
    <t>246.00</t>
  </si>
  <si>
    <t>243.00</t>
  </si>
  <si>
    <t>268.00</t>
  </si>
  <si>
    <t>256.67</t>
  </si>
  <si>
    <t>256.00</t>
  </si>
  <si>
    <t>253.00</t>
  </si>
  <si>
    <t>251.00</t>
  </si>
  <si>
    <t>277.00</t>
  </si>
  <si>
    <t>263.50</t>
  </si>
  <si>
    <t>261.00</t>
  </si>
  <si>
    <t>259.00</t>
  </si>
  <si>
    <t>241.00</t>
  </si>
  <si>
    <t>237.10</t>
  </si>
  <si>
    <t>233.00</t>
  </si>
  <si>
    <t>278.00</t>
  </si>
  <si>
    <t>267.09</t>
  </si>
  <si>
    <t>264.00</t>
  </si>
  <si>
    <t>263.00</t>
  </si>
  <si>
    <t>248.83</t>
  </si>
  <si>
    <t>247.00</t>
  </si>
  <si>
    <t>245.10</t>
  </si>
  <si>
    <t>255.00</t>
  </si>
  <si>
    <t>229.71</t>
  </si>
  <si>
    <t>221.00</t>
  </si>
  <si>
    <t>218.80</t>
  </si>
  <si>
    <t>214.00</t>
  </si>
  <si>
    <t>208.50</t>
  </si>
  <si>
    <t>213.50</t>
  </si>
  <si>
    <t>180.00</t>
  </si>
  <si>
    <t>164.00</t>
  </si>
  <si>
    <t>220.67</t>
  </si>
  <si>
    <t>220.00</t>
  </si>
  <si>
    <t>213.00</t>
  </si>
  <si>
    <t>206.00</t>
  </si>
  <si>
    <t>나</t>
  </si>
  <si>
    <t>간호학과
병원경영학과
의공학과
의료IT공학과
의료공간디자인학과
제약생명공학과
의료신소재학과
인공지능학과
기업소프트웨어학부
스마트보안학과
임상의약학과
의약바이오학과
재난안전소방학과
반도체공학과
아동교육학과
초등특수교육과
중등특수교육과
사회복지학과
디지털콘텐츠학과</t>
  </si>
  <si>
    <t>16 17 68 4.0 20
5 7 30 4.3 7
4 6 39 6.5 6
5 7 35 5.0 8
2 3 13 4.3 4
2 2 14 7.0 3
3 6 20 3.3 8
5 13 58 4.5 12
3 10 27 2.7 10
1 23 45 2.0 17
- 7 21 3.0 8
5 21 76 3.6 19
- 5 17 3.4 6
- 14 45 3.2 15
2 16 9 0.6 1
- 24 14 0.6 9
- 15 6 0.4 2
5 17 28 1.6 7
1 8 17 2.1 4</t>
  </si>
  <si>
    <t>289.00</t>
  </si>
  <si>
    <t>277.20</t>
  </si>
  <si>
    <t>274.30</t>
  </si>
  <si>
    <t>271.0</t>
  </si>
  <si>
    <t>16
9
1
10
8
2
10
18
3
22
7
39
5
12
-
-
-
11
9</t>
  </si>
  <si>
    <t>293.00</t>
  </si>
  <si>
    <t>248.71</t>
  </si>
  <si>
    <t>238.40</t>
  </si>
  <si>
    <t>234.0</t>
  </si>
  <si>
    <t>262.00</t>
  </si>
  <si>
    <t>248.17</t>
  </si>
  <si>
    <t>243.20</t>
  </si>
  <si>
    <t>237.50</t>
  </si>
  <si>
    <t>234.50</t>
  </si>
  <si>
    <t>232.40</t>
  </si>
  <si>
    <t>228.00</t>
  </si>
  <si>
    <t>227.00</t>
  </si>
  <si>
    <t>221.75</t>
  </si>
  <si>
    <t>225.00</t>
  </si>
  <si>
    <t>217.50</t>
  </si>
  <si>
    <t>210.00</t>
  </si>
  <si>
    <t>265.00</t>
  </si>
  <si>
    <t>254.00</t>
  </si>
  <si>
    <t>250.00</t>
  </si>
  <si>
    <t>247.60</t>
  </si>
  <si>
    <t>237.00</t>
  </si>
  <si>
    <t>212.13</t>
  </si>
  <si>
    <t>196.40</t>
  </si>
  <si>
    <t>229.50</t>
  </si>
  <si>
    <t>232.50</t>
  </si>
  <si>
    <t>224.70</t>
  </si>
  <si>
    <t>215.00</t>
  </si>
  <si>
    <t>222.90</t>
  </si>
  <si>
    <t>223.50</t>
  </si>
  <si>
    <t>213.30</t>
  </si>
  <si>
    <t>212.00</t>
  </si>
  <si>
    <t>222.00</t>
  </si>
  <si>
    <t>196.00</t>
  </si>
  <si>
    <t>180.40</t>
  </si>
  <si>
    <t>159.00</t>
  </si>
  <si>
    <t>249.00</t>
  </si>
  <si>
    <t>225.75</t>
  </si>
  <si>
    <t>226.00</t>
  </si>
  <si>
    <t>212.40</t>
  </si>
  <si>
    <t>205.00</t>
  </si>
  <si>
    <t>232.00</t>
  </si>
  <si>
    <t>212.95</t>
  </si>
  <si>
    <t>216.00</t>
  </si>
  <si>
    <t>181.00</t>
  </si>
  <si>
    <t>215.67</t>
  </si>
  <si>
    <t>219.00</t>
  </si>
  <si>
    <t>217.20</t>
  </si>
  <si>
    <t>192.00</t>
  </si>
  <si>
    <t>218.00</t>
  </si>
  <si>
    <t>201.73</t>
  </si>
  <si>
    <t>194.80</t>
  </si>
  <si>
    <t>175.00</t>
  </si>
  <si>
    <t>203.00</t>
  </si>
  <si>
    <t>207.00</t>
  </si>
  <si>
    <t>177.56</t>
  </si>
  <si>
    <t>173.00</t>
  </si>
  <si>
    <t>171.00</t>
  </si>
  <si>
    <t>145.00</t>
  </si>
  <si>
    <t>177.00</t>
  </si>
  <si>
    <t>151.00</t>
  </si>
  <si>
    <t>224.00</t>
  </si>
  <si>
    <t>200.14</t>
  </si>
  <si>
    <t>209.00</t>
  </si>
  <si>
    <t>183.60</t>
  </si>
  <si>
    <t>200.00</t>
  </si>
  <si>
    <t>195.00</t>
  </si>
  <si>
    <t>194.00</t>
  </si>
  <si>
    <t>다</t>
  </si>
  <si>
    <t>융합다지안학과
글로벌의료뷰티학과
경영학부
호텔관광학과
금융세무학부</t>
  </si>
  <si>
    <t>- 7 28 4.0 6
- 7 9 1.3 4
1 14 33 2.4 5
1 19 34 1.8 10
1 19 81 4.3 18</t>
  </si>
  <si>
    <t>229.83</t>
  </si>
  <si>
    <t>225.40</t>
  </si>
  <si>
    <t>6
2
19
15
23</t>
  </si>
  <si>
    <t>198.00</t>
  </si>
  <si>
    <t>171.75</t>
  </si>
  <si>
    <t>182.00</t>
  </si>
  <si>
    <t>125.00</t>
  </si>
  <si>
    <t>217.00</t>
  </si>
  <si>
    <t>204.00</t>
  </si>
  <si>
    <t>197.40</t>
  </si>
  <si>
    <t>179.00</t>
  </si>
  <si>
    <t>198.20</t>
  </si>
  <si>
    <t>189.00</t>
  </si>
  <si>
    <t>131.00</t>
  </si>
  <si>
    <t>206.89</t>
  </si>
  <si>
    <t>200.70</t>
  </si>
  <si>
    <t>190.00</t>
  </si>
  <si>
    <t>수능백분위(300점 만점)</t>
  </si>
  <si>
    <t>6 22 6 0.3 1
- 2 - - -</t>
  </si>
  <si>
    <t>187.00</t>
  </si>
  <si>
    <t>융합다지안학과</t>
  </si>
  <si>
    <t>가군</t>
    <phoneticPr fontId="1" type="noConversion"/>
  </si>
  <si>
    <t>나군</t>
    <phoneticPr fontId="1" type="noConversion"/>
  </si>
  <si>
    <t>다군</t>
    <phoneticPr fontId="1" type="noConversion"/>
  </si>
  <si>
    <t>학년도</t>
  </si>
  <si>
    <t>대학교명</t>
  </si>
  <si>
    <t>지원군</t>
  </si>
  <si>
    <t>전형명</t>
    <phoneticPr fontId="2" type="noConversion"/>
  </si>
  <si>
    <t>학과명</t>
    <phoneticPr fontId="2" type="noConversion"/>
  </si>
  <si>
    <t>경쟁률</t>
  </si>
  <si>
    <t>충원합격</t>
  </si>
  <si>
    <t>수능(50% cut)</t>
  </si>
  <si>
    <t>수능(70% cut)</t>
  </si>
  <si>
    <t>만점</t>
  </si>
  <si>
    <t>수능백분위(50%cut)</t>
  </si>
  <si>
    <t>수능백분위(70%cut)</t>
  </si>
  <si>
    <t>국(50%cut)</t>
  </si>
  <si>
    <t>수(50%cut)</t>
  </si>
  <si>
    <t>탐1(50%cut)</t>
  </si>
  <si>
    <t>탐2(50%cut)</t>
  </si>
  <si>
    <t>영(50%cut)</t>
  </si>
  <si>
    <t>한(50%cut)</t>
  </si>
  <si>
    <t>국(70%cut)</t>
  </si>
  <si>
    <t>수(70%cut)</t>
  </si>
  <si>
    <t>탐1(70%cut)</t>
  </si>
  <si>
    <t>탐2(70%cut)</t>
  </si>
  <si>
    <t>영(70%cut)</t>
  </si>
  <si>
    <t>한(70%cut)</t>
  </si>
  <si>
    <t>여유1</t>
    <phoneticPr fontId="2" type="noConversion"/>
  </si>
  <si>
    <t>여유2</t>
    <phoneticPr fontId="2" type="noConversion"/>
  </si>
  <si>
    <t>의치한약수</t>
    <phoneticPr fontId="2" type="noConversion"/>
  </si>
  <si>
    <t>백분위/표준점수/변환표준점수/등급</t>
  </si>
  <si>
    <t>변환점수적용구분</t>
  </si>
  <si>
    <t>탐1</t>
  </si>
  <si>
    <t>탐2</t>
  </si>
  <si>
    <t>한국사</t>
  </si>
  <si>
    <t>국수MAX</t>
  </si>
  <si>
    <t>국수MIN</t>
  </si>
  <si>
    <t>국수탐MAX</t>
  </si>
  <si>
    <t>국수탐MID</t>
  </si>
  <si>
    <t>국수탐MIN</t>
  </si>
  <si>
    <t>국수영탐MAX</t>
  </si>
  <si>
    <t>국수영탐MID1</t>
  </si>
  <si>
    <t>국수영탐MID2</t>
  </si>
  <si>
    <t>국수영탐MIN</t>
  </si>
  <si>
    <t>수탐MAX</t>
  </si>
  <si>
    <t>국탐MAX</t>
  </si>
  <si>
    <t>국탐MIN</t>
  </si>
  <si>
    <t>국영탐MAX</t>
  </si>
  <si>
    <t>국영탐MID</t>
  </si>
  <si>
    <t>수영탐MAX</t>
  </si>
  <si>
    <t>수영탐MID</t>
  </si>
  <si>
    <t>수영MAX</t>
  </si>
  <si>
    <t>국영MAX</t>
  </si>
  <si>
    <t>국영수MAX</t>
  </si>
  <si>
    <t>국영수MID</t>
  </si>
  <si>
    <t>국영수MIN</t>
  </si>
  <si>
    <t>수영탐MIN</t>
    <phoneticPr fontId="2" type="noConversion"/>
  </si>
  <si>
    <t>국영탐MIN</t>
    <phoneticPr fontId="2" type="noConversion"/>
  </si>
  <si>
    <t>반영비율여유3</t>
    <phoneticPr fontId="2" type="noConversion"/>
  </si>
  <si>
    <t>반영비율여유4</t>
    <phoneticPr fontId="2" type="noConversion"/>
  </si>
  <si>
    <t>반영비율여유5</t>
    <phoneticPr fontId="2" type="noConversion"/>
  </si>
  <si>
    <t>영1</t>
  </si>
  <si>
    <t>영2</t>
  </si>
  <si>
    <t>영3</t>
  </si>
  <si>
    <t>영4</t>
  </si>
  <si>
    <t>영5</t>
  </si>
  <si>
    <t>영6</t>
  </si>
  <si>
    <t>영7</t>
  </si>
  <si>
    <t>영8</t>
  </si>
  <si>
    <t>영9</t>
  </si>
  <si>
    <t>한1</t>
  </si>
  <si>
    <t>한2</t>
  </si>
  <si>
    <t>한3</t>
  </si>
  <si>
    <t>한4</t>
  </si>
  <si>
    <t>한5</t>
  </si>
  <si>
    <t>한6</t>
  </si>
  <si>
    <t>한7</t>
  </si>
  <si>
    <t>한8</t>
  </si>
  <si>
    <t>한9</t>
  </si>
  <si>
    <t>제2한1</t>
  </si>
  <si>
    <t>제2한2</t>
  </si>
  <si>
    <t>제2한3</t>
  </si>
  <si>
    <t>제2한4</t>
  </si>
  <si>
    <t>제2한5</t>
  </si>
  <si>
    <t>제2한6</t>
  </si>
  <si>
    <t>제2한7</t>
  </si>
  <si>
    <t>제2한8</t>
  </si>
  <si>
    <t>제2한9</t>
  </si>
  <si>
    <t>가산점</t>
  </si>
  <si>
    <t>확통가산</t>
  </si>
  <si>
    <t>미적분가산</t>
  </si>
  <si>
    <t>기하가산</t>
  </si>
  <si>
    <t>과탐가산</t>
  </si>
  <si>
    <t>사탐가산</t>
  </si>
  <si>
    <t>과탐2개</t>
  </si>
  <si>
    <t>과Ⅰ/ⅠⅠ</t>
  </si>
  <si>
    <t>과Ⅱ</t>
  </si>
  <si>
    <t>과탐 ⅠⅡ</t>
  </si>
  <si>
    <t>과탐ⅡⅡ</t>
    <phoneticPr fontId="2" type="noConversion"/>
  </si>
  <si>
    <t>물리</t>
  </si>
  <si>
    <t>과탐 ⅠⅠ</t>
  </si>
  <si>
    <t>과탐1개</t>
  </si>
  <si>
    <t>가산점여유1</t>
    <phoneticPr fontId="2" type="noConversion"/>
  </si>
  <si>
    <t>가산점여유2</t>
    <phoneticPr fontId="2" type="noConversion"/>
  </si>
  <si>
    <t>응시과목지정</t>
  </si>
  <si>
    <t>학과순번</t>
    <phoneticPr fontId="2" type="noConversion"/>
  </si>
  <si>
    <t>일반학생전형</t>
  </si>
  <si>
    <t>건양대학교</t>
    <phoneticPr fontId="1" type="noConversion"/>
  </si>
  <si>
    <t>2024학년도 정시</t>
    <phoneticPr fontId="1" type="noConversion"/>
  </si>
  <si>
    <t>Y</t>
    <phoneticPr fontId="1" type="noConversion"/>
  </si>
  <si>
    <t>백분위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</si>
</sst>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맑은 고딕"/>
      <family val="2"/>
      <scheme val="minor"/>
    </font>
    <font>
      <sz val="8"/>
      <name val="맑은 고딕"/>
      <family val="3"/>
      <charset val="129"/>
      <scheme val="minor"/>
    </font>
    <font>
      <sz val="8"/>
      <name val="맑은 고딕"/>
      <family val="2"/>
      <charset val="129"/>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
    <xf numFmtId="0" fontId="0" fillId="0" borderId="0" xfId="0"/>
    <xf numFmtId="0" fontId="0" fillId="0" borderId="1" xfId="0" applyBorder="1" applyAlignment="1">
      <alignment vertical="center"/>
    </xf>
    <xf numFmtId="0" fontId="0" fillId="0" borderId="1" xfId="0" applyFill="1" applyBorder="1" applyAlignment="1">
      <alignment horizontal="center"/>
    </xf>
    <xf numFmtId="0" fontId="0" fillId="0" borderId="0" xfId="0" applyFill="1" applyAlignment="1">
      <alignment horizontal="center"/>
    </xf>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Views>
    <sheetView workbookViewId="0"/>
  </sheetViews>
  <sheetFormatPr defaultRowHeight="17.399999999999999" x14ac:dyDescent="0.4"/>
  <sheetData>
    <row r="1" spans="1:2" x14ac:dyDescent="0.4">
      <c r="A1" t="s">
        <v>0</v>
      </c>
    </row>
    <row r="2" spans="1:2" x14ac:dyDescent="0.4">
      <c r="A2" t="s">
        <v>1</v>
      </c>
      <c r="B2" t="s">
        <v>2</v>
      </c>
    </row>
    <row r="3" spans="1:2" x14ac:dyDescent="0.4">
      <c r="A3" t="s">
        <v>3</v>
      </c>
      <c r="B3" t="s">
        <v>4</v>
      </c>
    </row>
    <row r="4" spans="1:2" x14ac:dyDescent="0.4">
      <c r="A4" t="s">
        <v>5</v>
      </c>
      <c r="B4" t="s">
        <v>6</v>
      </c>
    </row>
    <row r="5" spans="1:2" x14ac:dyDescent="0.4">
      <c r="A5" t="s">
        <v>7</v>
      </c>
      <c r="B5" t="s">
        <v>8</v>
      </c>
    </row>
    <row r="6" spans="1:2" x14ac:dyDescent="0.4">
      <c r="B6" t="s">
        <v>9</v>
      </c>
    </row>
    <row r="7" spans="1:2" x14ac:dyDescent="0.4">
      <c r="B7" t="s">
        <v>10</v>
      </c>
    </row>
    <row r="8" spans="1:2" x14ac:dyDescent="0.4">
      <c r="B8" t="s">
        <v>11</v>
      </c>
    </row>
    <row r="9" spans="1:2" x14ac:dyDescent="0.4">
      <c r="B9" t="s">
        <v>12</v>
      </c>
    </row>
    <row r="10" spans="1:2" x14ac:dyDescent="0.4">
      <c r="B10" t="s">
        <v>13</v>
      </c>
    </row>
    <row r="11" spans="1:2" x14ac:dyDescent="0.4">
      <c r="B11" t="s">
        <v>14</v>
      </c>
    </row>
    <row r="12" spans="1:2" x14ac:dyDescent="0.4">
      <c r="B12" t="s">
        <v>15</v>
      </c>
    </row>
    <row r="13" spans="1:2" x14ac:dyDescent="0.4">
      <c r="A13" t="s">
        <v>16</v>
      </c>
      <c r="B13" t="s">
        <v>17</v>
      </c>
    </row>
    <row r="14" spans="1:2" x14ac:dyDescent="0.4">
      <c r="B14" t="s">
        <v>18</v>
      </c>
    </row>
    <row r="15" spans="1:2" x14ac:dyDescent="0.4">
      <c r="B15" t="s">
        <v>19</v>
      </c>
    </row>
    <row r="16" spans="1:2" x14ac:dyDescent="0.4">
      <c r="B16" t="s">
        <v>20</v>
      </c>
    </row>
    <row r="17" spans="1:2" x14ac:dyDescent="0.4">
      <c r="B17" t="s">
        <v>21</v>
      </c>
    </row>
    <row r="18" spans="1:2" x14ac:dyDescent="0.4">
      <c r="A18" t="s">
        <v>22</v>
      </c>
      <c r="B18" t="s">
        <v>23</v>
      </c>
    </row>
  </sheetData>
  <phoneticPr fontId="1"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6"/>
  <sheetViews>
    <sheetView workbookViewId="0"/>
  </sheetViews>
  <sheetFormatPr defaultRowHeight="17.399999999999999" x14ac:dyDescent="0.4"/>
  <sheetData>
    <row r="1" spans="1:2" x14ac:dyDescent="0.4">
      <c r="A1" t="s">
        <v>24</v>
      </c>
    </row>
    <row r="2" spans="1:2" x14ac:dyDescent="0.4">
      <c r="A2" t="s">
        <v>1</v>
      </c>
      <c r="B2" t="s">
        <v>2</v>
      </c>
    </row>
    <row r="3" spans="1:2" x14ac:dyDescent="0.4">
      <c r="A3" t="s">
        <v>22</v>
      </c>
      <c r="B3" t="s">
        <v>25</v>
      </c>
    </row>
    <row r="4" spans="1:2" x14ac:dyDescent="0.4">
      <c r="B4" t="s">
        <v>26</v>
      </c>
    </row>
    <row r="5" spans="1:2" x14ac:dyDescent="0.4">
      <c r="A5" t="s">
        <v>27</v>
      </c>
      <c r="B5" t="s">
        <v>28</v>
      </c>
    </row>
    <row r="6" spans="1:2" x14ac:dyDescent="0.4">
      <c r="B6" t="s">
        <v>29</v>
      </c>
    </row>
    <row r="7" spans="1:2" x14ac:dyDescent="0.4">
      <c r="B7" t="s">
        <v>30</v>
      </c>
    </row>
    <row r="8" spans="1:2" x14ac:dyDescent="0.4">
      <c r="B8" t="s">
        <v>31</v>
      </c>
    </row>
    <row r="9" spans="1:2" x14ac:dyDescent="0.4">
      <c r="B9" t="s">
        <v>32</v>
      </c>
    </row>
    <row r="10" spans="1:2" x14ac:dyDescent="0.4">
      <c r="B10" t="s">
        <v>33</v>
      </c>
    </row>
    <row r="11" spans="1:2" x14ac:dyDescent="0.4">
      <c r="A11" t="s">
        <v>34</v>
      </c>
      <c r="B11" t="s">
        <v>35</v>
      </c>
    </row>
    <row r="12" spans="1:2" x14ac:dyDescent="0.4">
      <c r="B12" t="s">
        <v>36</v>
      </c>
    </row>
    <row r="13" spans="1:2" x14ac:dyDescent="0.4">
      <c r="B13" t="s">
        <v>37</v>
      </c>
    </row>
    <row r="14" spans="1:2" x14ac:dyDescent="0.4">
      <c r="B14" t="s">
        <v>38</v>
      </c>
    </row>
    <row r="15" spans="1:2" x14ac:dyDescent="0.4">
      <c r="B15" t="s">
        <v>39</v>
      </c>
    </row>
    <row r="16" spans="1:2" x14ac:dyDescent="0.4">
      <c r="B16" t="s">
        <v>40</v>
      </c>
    </row>
    <row r="17" spans="1:2" x14ac:dyDescent="0.4">
      <c r="B17" t="s">
        <v>41</v>
      </c>
    </row>
    <row r="18" spans="1:2" x14ac:dyDescent="0.4">
      <c r="B18" t="s">
        <v>42</v>
      </c>
    </row>
    <row r="19" spans="1:2" x14ac:dyDescent="0.4">
      <c r="B19" t="s">
        <v>43</v>
      </c>
    </row>
    <row r="20" spans="1:2" x14ac:dyDescent="0.4">
      <c r="B20" t="s">
        <v>44</v>
      </c>
    </row>
    <row r="21" spans="1:2" x14ac:dyDescent="0.4">
      <c r="A21" t="s">
        <v>45</v>
      </c>
      <c r="B21" t="s">
        <v>46</v>
      </c>
    </row>
    <row r="22" spans="1:2" x14ac:dyDescent="0.4">
      <c r="B22" t="s">
        <v>47</v>
      </c>
    </row>
    <row r="23" spans="1:2" x14ac:dyDescent="0.4">
      <c r="B23" t="s">
        <v>48</v>
      </c>
    </row>
    <row r="24" spans="1:2" x14ac:dyDescent="0.4">
      <c r="A24" t="s">
        <v>49</v>
      </c>
      <c r="B24" t="s">
        <v>50</v>
      </c>
    </row>
    <row r="25" spans="1:2" x14ac:dyDescent="0.4">
      <c r="B25" t="s">
        <v>51</v>
      </c>
    </row>
    <row r="26" spans="1:2" x14ac:dyDescent="0.4">
      <c r="B26" t="s">
        <v>52</v>
      </c>
    </row>
  </sheetData>
  <phoneticPr fontId="1"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8"/>
  <sheetViews>
    <sheetView workbookViewId="0"/>
  </sheetViews>
  <sheetFormatPr defaultRowHeight="17.399999999999999" x14ac:dyDescent="0.4"/>
  <sheetData>
    <row r="1" spans="1:7" x14ac:dyDescent="0.4">
      <c r="A1" t="s">
        <v>53</v>
      </c>
      <c r="B1" t="s">
        <v>54</v>
      </c>
      <c r="C1" t="s">
        <v>55</v>
      </c>
      <c r="E1" t="s">
        <v>56</v>
      </c>
      <c r="F1" t="s">
        <v>57</v>
      </c>
    </row>
    <row r="2" spans="1:7" x14ac:dyDescent="0.4">
      <c r="A2" t="s">
        <v>58</v>
      </c>
      <c r="B2" t="s">
        <v>59</v>
      </c>
      <c r="C2" t="s">
        <v>60</v>
      </c>
      <c r="D2" t="s">
        <v>61</v>
      </c>
      <c r="E2" t="s">
        <v>62</v>
      </c>
      <c r="F2" t="s">
        <v>63</v>
      </c>
      <c r="G2" t="s">
        <v>64</v>
      </c>
    </row>
    <row r="3" spans="1:7" x14ac:dyDescent="0.4">
      <c r="D3" t="s">
        <v>65</v>
      </c>
      <c r="E3" t="s">
        <v>66</v>
      </c>
      <c r="F3" t="s">
        <v>67</v>
      </c>
      <c r="G3" t="s">
        <v>68</v>
      </c>
    </row>
    <row r="4" spans="1:7" x14ac:dyDescent="0.4">
      <c r="C4" t="s">
        <v>69</v>
      </c>
      <c r="E4" t="s">
        <v>70</v>
      </c>
      <c r="F4" t="s">
        <v>71</v>
      </c>
    </row>
    <row r="5" spans="1:7" x14ac:dyDescent="0.4">
      <c r="C5" t="s">
        <v>72</v>
      </c>
      <c r="E5" t="s">
        <v>73</v>
      </c>
      <c r="F5" t="s">
        <v>74</v>
      </c>
    </row>
    <row r="6" spans="1:7" x14ac:dyDescent="0.4">
      <c r="C6" t="s">
        <v>75</v>
      </c>
      <c r="E6" t="s">
        <v>76</v>
      </c>
      <c r="F6" t="s">
        <v>71</v>
      </c>
    </row>
    <row r="7" spans="1:7" x14ac:dyDescent="0.4">
      <c r="B7" t="s">
        <v>77</v>
      </c>
      <c r="C7" t="s">
        <v>78</v>
      </c>
      <c r="E7" t="s">
        <v>79</v>
      </c>
      <c r="F7" t="s">
        <v>80</v>
      </c>
    </row>
    <row r="8" spans="1:7" x14ac:dyDescent="0.4">
      <c r="B8" t="s">
        <v>81</v>
      </c>
      <c r="C8" t="s">
        <v>82</v>
      </c>
      <c r="E8" t="s">
        <v>83</v>
      </c>
      <c r="F8" t="s">
        <v>84</v>
      </c>
    </row>
  </sheetData>
  <phoneticPr fontId="1"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heetViews>
  <sheetFormatPr defaultRowHeight="17.399999999999999" x14ac:dyDescent="0.4"/>
  <sheetData>
    <row r="1" spans="1:2" x14ac:dyDescent="0.4">
      <c r="A1" t="s">
        <v>85</v>
      </c>
      <c r="B1" t="s">
        <v>86</v>
      </c>
    </row>
    <row r="2" spans="1:2" x14ac:dyDescent="0.4">
      <c r="A2" t="s">
        <v>4</v>
      </c>
      <c r="B2" t="s">
        <v>87</v>
      </c>
    </row>
    <row r="3" spans="1:2" x14ac:dyDescent="0.4">
      <c r="A3" t="s">
        <v>88</v>
      </c>
      <c r="B3" t="s">
        <v>89</v>
      </c>
    </row>
    <row r="4" spans="1:2" x14ac:dyDescent="0.4">
      <c r="A4" t="s">
        <v>90</v>
      </c>
      <c r="B4" t="s">
        <v>91</v>
      </c>
    </row>
    <row r="5" spans="1:2" x14ac:dyDescent="0.4">
      <c r="A5" t="s">
        <v>92</v>
      </c>
      <c r="B5" t="s">
        <v>93</v>
      </c>
    </row>
  </sheetData>
  <phoneticPr fontId="1"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sheetViews>
  <sheetFormatPr defaultRowHeight="17.399999999999999" x14ac:dyDescent="0.4"/>
  <sheetData>
    <row r="1" spans="1:3" x14ac:dyDescent="0.4">
      <c r="A1" t="s">
        <v>94</v>
      </c>
      <c r="B1" t="s">
        <v>95</v>
      </c>
      <c r="C1" t="s">
        <v>96</v>
      </c>
    </row>
    <row r="2" spans="1:3" x14ac:dyDescent="0.4">
      <c r="A2" t="s">
        <v>97</v>
      </c>
      <c r="B2" t="s">
        <v>98</v>
      </c>
      <c r="C2" t="s">
        <v>99</v>
      </c>
    </row>
    <row r="3" spans="1:3" x14ac:dyDescent="0.4">
      <c r="A3" t="s">
        <v>100</v>
      </c>
      <c r="B3" t="s">
        <v>101</v>
      </c>
    </row>
    <row r="4" spans="1:3" x14ac:dyDescent="0.4">
      <c r="A4" t="s">
        <v>102</v>
      </c>
      <c r="B4" t="s">
        <v>103</v>
      </c>
    </row>
    <row r="5" spans="1:3" x14ac:dyDescent="0.4">
      <c r="A5" t="s">
        <v>104</v>
      </c>
      <c r="B5" t="s">
        <v>105</v>
      </c>
      <c r="C5" t="s">
        <v>106</v>
      </c>
    </row>
    <row r="6" spans="1:3" x14ac:dyDescent="0.4">
      <c r="A6" t="s">
        <v>92</v>
      </c>
      <c r="B6" t="s">
        <v>107</v>
      </c>
      <c r="C6" t="s">
        <v>108</v>
      </c>
    </row>
    <row r="7" spans="1:3" x14ac:dyDescent="0.4">
      <c r="A7" t="s">
        <v>109</v>
      </c>
      <c r="B7" t="s">
        <v>110</v>
      </c>
    </row>
  </sheetData>
  <phoneticPr fontId="1"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7.399999999999999" x14ac:dyDescent="0.4"/>
  <sheetData>
    <row r="1" spans="1:1" x14ac:dyDescent="0.4">
      <c r="A1" t="s">
        <v>111</v>
      </c>
    </row>
  </sheetData>
  <phoneticPr fontId="1"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
  <sheetViews>
    <sheetView workbookViewId="0"/>
  </sheetViews>
  <sheetFormatPr defaultRowHeight="17.399999999999999" x14ac:dyDescent="0.4"/>
  <sheetData>
    <row r="1" spans="1:2" x14ac:dyDescent="0.4">
      <c r="A1" t="s">
        <v>112</v>
      </c>
      <c r="B1" t="s">
        <v>113</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
  <sheetViews>
    <sheetView workbookViewId="0"/>
  </sheetViews>
  <sheetFormatPr defaultRowHeight="17.399999999999999" x14ac:dyDescent="0.4"/>
  <sheetData>
    <row r="1" spans="1:10" x14ac:dyDescent="0.4">
      <c r="A1" t="s">
        <v>114</v>
      </c>
      <c r="B1" t="s">
        <v>115</v>
      </c>
      <c r="C1" t="s">
        <v>116</v>
      </c>
      <c r="D1" t="s">
        <v>117</v>
      </c>
      <c r="E1" t="s">
        <v>118</v>
      </c>
      <c r="F1" t="s">
        <v>119</v>
      </c>
      <c r="G1" t="s">
        <v>120</v>
      </c>
      <c r="H1" t="s">
        <v>121</v>
      </c>
      <c r="I1" t="s">
        <v>122</v>
      </c>
      <c r="J1" t="s">
        <v>123</v>
      </c>
    </row>
    <row r="2" spans="1:10" x14ac:dyDescent="0.4">
      <c r="A2" t="s">
        <v>124</v>
      </c>
      <c r="B2" t="s">
        <v>125</v>
      </c>
      <c r="C2" t="s">
        <v>126</v>
      </c>
      <c r="D2" t="s">
        <v>127</v>
      </c>
      <c r="E2" t="s">
        <v>128</v>
      </c>
      <c r="F2" t="s">
        <v>129</v>
      </c>
      <c r="G2" t="s">
        <v>130</v>
      </c>
      <c r="H2" t="s">
        <v>131</v>
      </c>
      <c r="I2" t="s">
        <v>132</v>
      </c>
      <c r="J2" t="s">
        <v>133</v>
      </c>
    </row>
  </sheetData>
  <phoneticPr fontId="1"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8"/>
  <sheetViews>
    <sheetView workbookViewId="0"/>
  </sheetViews>
  <sheetFormatPr defaultRowHeight="17.399999999999999" x14ac:dyDescent="0.4"/>
  <sheetData>
    <row r="1" spans="1:11" x14ac:dyDescent="0.4">
      <c r="A1" t="s">
        <v>2</v>
      </c>
      <c r="B1" t="s">
        <v>56</v>
      </c>
      <c r="C1" t="s">
        <v>134</v>
      </c>
      <c r="D1" t="s">
        <v>135</v>
      </c>
      <c r="E1" t="s">
        <v>136</v>
      </c>
      <c r="F1" t="s">
        <v>137</v>
      </c>
      <c r="K1" t="s">
        <v>138</v>
      </c>
    </row>
    <row r="2" spans="1:11" x14ac:dyDescent="0.4">
      <c r="F2" t="s">
        <v>139</v>
      </c>
      <c r="G2" t="s">
        <v>140</v>
      </c>
      <c r="H2" t="s">
        <v>141</v>
      </c>
      <c r="I2" t="s">
        <v>142</v>
      </c>
      <c r="J2" t="s">
        <v>143</v>
      </c>
    </row>
    <row r="3" spans="1:11" x14ac:dyDescent="0.4">
      <c r="A3" t="s">
        <v>6</v>
      </c>
      <c r="B3" t="s">
        <v>144</v>
      </c>
      <c r="F3" t="s">
        <v>145</v>
      </c>
      <c r="G3" t="s">
        <v>146</v>
      </c>
      <c r="H3" t="s">
        <v>147</v>
      </c>
      <c r="I3" t="s">
        <v>148</v>
      </c>
      <c r="J3" t="s">
        <v>149</v>
      </c>
      <c r="K3" t="s">
        <v>131</v>
      </c>
    </row>
    <row r="4" spans="1:11" x14ac:dyDescent="0.4">
      <c r="A4" t="s">
        <v>150</v>
      </c>
      <c r="B4" t="s">
        <v>151</v>
      </c>
      <c r="F4" t="s">
        <v>152</v>
      </c>
      <c r="G4" t="s">
        <v>153</v>
      </c>
      <c r="H4" t="s">
        <v>154</v>
      </c>
      <c r="I4" t="s">
        <v>155</v>
      </c>
      <c r="J4" t="s">
        <v>156</v>
      </c>
      <c r="K4" t="s">
        <v>157</v>
      </c>
    </row>
    <row r="5" spans="1:11" x14ac:dyDescent="0.4">
      <c r="F5" t="s">
        <v>158</v>
      </c>
      <c r="G5" t="s">
        <v>159</v>
      </c>
      <c r="H5" t="s">
        <v>160</v>
      </c>
      <c r="I5" t="s">
        <v>161</v>
      </c>
      <c r="J5" t="s">
        <v>162</v>
      </c>
    </row>
    <row r="6" spans="1:11" x14ac:dyDescent="0.4">
      <c r="F6" t="s">
        <v>163</v>
      </c>
      <c r="G6" t="s">
        <v>164</v>
      </c>
      <c r="H6" t="s">
        <v>165</v>
      </c>
      <c r="I6" t="s">
        <v>166</v>
      </c>
      <c r="J6" t="s">
        <v>167</v>
      </c>
    </row>
    <row r="7" spans="1:11" x14ac:dyDescent="0.4">
      <c r="F7" t="s">
        <v>168</v>
      </c>
      <c r="G7" t="s">
        <v>169</v>
      </c>
      <c r="H7" t="s">
        <v>170</v>
      </c>
      <c r="I7" t="s">
        <v>171</v>
      </c>
      <c r="J7" t="s">
        <v>172</v>
      </c>
    </row>
    <row r="8" spans="1:11" x14ac:dyDescent="0.4">
      <c r="F8" t="s">
        <v>173</v>
      </c>
      <c r="G8" t="s">
        <v>149</v>
      </c>
      <c r="H8" t="s">
        <v>174</v>
      </c>
      <c r="I8" t="s">
        <v>175</v>
      </c>
      <c r="J8" t="s">
        <v>176</v>
      </c>
    </row>
    <row r="9" spans="1:11" x14ac:dyDescent="0.4">
      <c r="F9" t="s">
        <v>177</v>
      </c>
      <c r="G9" t="s">
        <v>178</v>
      </c>
      <c r="H9" t="s">
        <v>179</v>
      </c>
      <c r="I9" t="s">
        <v>180</v>
      </c>
      <c r="J9" t="s">
        <v>181</v>
      </c>
    </row>
    <row r="10" spans="1:11" x14ac:dyDescent="0.4">
      <c r="F10" t="s">
        <v>145</v>
      </c>
      <c r="G10" t="s">
        <v>182</v>
      </c>
      <c r="H10" t="s">
        <v>183</v>
      </c>
      <c r="I10" t="s">
        <v>184</v>
      </c>
      <c r="J10" t="s">
        <v>185</v>
      </c>
    </row>
    <row r="11" spans="1:11" x14ac:dyDescent="0.4">
      <c r="F11" t="s">
        <v>186</v>
      </c>
      <c r="G11" t="s">
        <v>170</v>
      </c>
      <c r="H11" t="s">
        <v>187</v>
      </c>
      <c r="I11" t="s">
        <v>188</v>
      </c>
      <c r="J11" t="s">
        <v>189</v>
      </c>
    </row>
    <row r="12" spans="1:11" x14ac:dyDescent="0.4">
      <c r="A12" t="s">
        <v>190</v>
      </c>
      <c r="B12" t="s">
        <v>191</v>
      </c>
      <c r="F12" t="s">
        <v>192</v>
      </c>
      <c r="G12" t="s">
        <v>193</v>
      </c>
      <c r="H12" t="s">
        <v>194</v>
      </c>
      <c r="I12" t="s">
        <v>195</v>
      </c>
      <c r="J12" t="s">
        <v>196</v>
      </c>
      <c r="K12" t="s">
        <v>197</v>
      </c>
    </row>
    <row r="13" spans="1:11" x14ac:dyDescent="0.4">
      <c r="F13" t="s">
        <v>198</v>
      </c>
      <c r="G13" t="s">
        <v>199</v>
      </c>
      <c r="H13" t="s">
        <v>167</v>
      </c>
      <c r="I13" t="s">
        <v>200</v>
      </c>
      <c r="J13" t="s">
        <v>201</v>
      </c>
    </row>
    <row r="14" spans="1:11" x14ac:dyDescent="0.4">
      <c r="F14" t="s">
        <v>178</v>
      </c>
      <c r="G14" t="s">
        <v>202</v>
      </c>
      <c r="H14" t="s">
        <v>203</v>
      </c>
      <c r="I14" t="s">
        <v>204</v>
      </c>
      <c r="J14" t="s">
        <v>205</v>
      </c>
    </row>
    <row r="15" spans="1:11" x14ac:dyDescent="0.4">
      <c r="F15" t="s">
        <v>192</v>
      </c>
      <c r="G15" t="s">
        <v>206</v>
      </c>
      <c r="H15" t="s">
        <v>207</v>
      </c>
      <c r="I15" t="s">
        <v>153</v>
      </c>
      <c r="J15" t="s">
        <v>160</v>
      </c>
    </row>
    <row r="16" spans="1:11" x14ac:dyDescent="0.4">
      <c r="F16" t="s">
        <v>208</v>
      </c>
      <c r="G16" t="s">
        <v>209</v>
      </c>
      <c r="H16" t="s">
        <v>210</v>
      </c>
      <c r="I16" t="s">
        <v>211</v>
      </c>
      <c r="J16" t="s">
        <v>212</v>
      </c>
    </row>
    <row r="17" spans="1:11" x14ac:dyDescent="0.4">
      <c r="A17" t="s">
        <v>213</v>
      </c>
      <c r="B17" t="s">
        <v>214</v>
      </c>
      <c r="F17" t="s">
        <v>215</v>
      </c>
      <c r="G17" t="s">
        <v>216</v>
      </c>
      <c r="H17" t="s">
        <v>217</v>
      </c>
      <c r="I17" t="s">
        <v>218</v>
      </c>
      <c r="J17" t="s">
        <v>219</v>
      </c>
      <c r="K17" t="s">
        <v>220</v>
      </c>
    </row>
    <row r="18" spans="1:11" x14ac:dyDescent="0.4">
      <c r="F18" t="s">
        <v>185</v>
      </c>
      <c r="G18" t="s">
        <v>221</v>
      </c>
      <c r="H18" t="s">
        <v>222</v>
      </c>
      <c r="I18" t="s">
        <v>223</v>
      </c>
      <c r="J18" t="s">
        <v>224</v>
      </c>
    </row>
    <row r="19" spans="1:11" x14ac:dyDescent="0.4">
      <c r="F19" t="s">
        <v>225</v>
      </c>
      <c r="G19" t="s">
        <v>226</v>
      </c>
      <c r="H19" t="s">
        <v>227</v>
      </c>
      <c r="I19" t="s">
        <v>228</v>
      </c>
      <c r="J19" t="s">
        <v>212</v>
      </c>
    </row>
    <row r="20" spans="1:11" x14ac:dyDescent="0.4">
      <c r="A20" t="s">
        <v>229</v>
      </c>
      <c r="B20" t="s">
        <v>230</v>
      </c>
      <c r="F20" t="s">
        <v>231</v>
      </c>
      <c r="G20" t="s">
        <v>232</v>
      </c>
      <c r="H20" t="s">
        <v>210</v>
      </c>
      <c r="I20" t="s">
        <v>233</v>
      </c>
      <c r="J20" t="s">
        <v>234</v>
      </c>
      <c r="K20" t="s">
        <v>235</v>
      </c>
    </row>
    <row r="21" spans="1:11" x14ac:dyDescent="0.4">
      <c r="F21" t="s">
        <v>152</v>
      </c>
      <c r="G21" t="s">
        <v>194</v>
      </c>
      <c r="H21" t="s">
        <v>236</v>
      </c>
      <c r="I21" t="s">
        <v>237</v>
      </c>
      <c r="J21" t="s">
        <v>238</v>
      </c>
    </row>
    <row r="22" spans="1:11" x14ac:dyDescent="0.4">
      <c r="F22" t="s">
        <v>239</v>
      </c>
      <c r="G22" t="s">
        <v>240</v>
      </c>
      <c r="H22" t="s">
        <v>199</v>
      </c>
      <c r="I22" t="s">
        <v>241</v>
      </c>
      <c r="J22" t="s">
        <v>242</v>
      </c>
    </row>
    <row r="23" spans="1:11" x14ac:dyDescent="0.4">
      <c r="F23" t="s">
        <v>181</v>
      </c>
      <c r="G23" t="s">
        <v>243</v>
      </c>
      <c r="H23" t="s">
        <v>244</v>
      </c>
      <c r="I23" t="s">
        <v>245</v>
      </c>
      <c r="J23" t="s">
        <v>246</v>
      </c>
    </row>
    <row r="24" spans="1:11" x14ac:dyDescent="0.4">
      <c r="F24" t="s">
        <v>153</v>
      </c>
      <c r="G24" t="s">
        <v>247</v>
      </c>
      <c r="H24" t="s">
        <v>248</v>
      </c>
      <c r="I24" t="s">
        <v>249</v>
      </c>
      <c r="J24" t="s">
        <v>250</v>
      </c>
    </row>
    <row r="25" spans="1:11" x14ac:dyDescent="0.4">
      <c r="F25" t="s">
        <v>251</v>
      </c>
      <c r="G25" t="s">
        <v>252</v>
      </c>
      <c r="H25" t="s">
        <v>253</v>
      </c>
      <c r="I25" t="s">
        <v>254</v>
      </c>
      <c r="J25" t="s">
        <v>255</v>
      </c>
    </row>
    <row r="26" spans="1:11" x14ac:dyDescent="0.4">
      <c r="A26" t="s">
        <v>256</v>
      </c>
      <c r="B26" t="s">
        <v>257</v>
      </c>
      <c r="F26" t="s">
        <v>258</v>
      </c>
      <c r="G26" t="s">
        <v>259</v>
      </c>
      <c r="H26" t="s">
        <v>260</v>
      </c>
      <c r="I26" t="s">
        <v>261</v>
      </c>
      <c r="J26" t="s">
        <v>262</v>
      </c>
      <c r="K26" t="s">
        <v>263</v>
      </c>
    </row>
    <row r="27" spans="1:11" x14ac:dyDescent="0.4">
      <c r="F27" t="s">
        <v>264</v>
      </c>
      <c r="G27" t="s">
        <v>265</v>
      </c>
      <c r="H27" t="s">
        <v>266</v>
      </c>
      <c r="I27" t="s">
        <v>267</v>
      </c>
      <c r="J27" t="s">
        <v>268</v>
      </c>
    </row>
    <row r="28" spans="1:11" x14ac:dyDescent="0.4">
      <c r="F28" t="s">
        <v>269</v>
      </c>
      <c r="G28" t="s">
        <v>162</v>
      </c>
      <c r="H28" t="s">
        <v>243</v>
      </c>
      <c r="I28" t="s">
        <v>254</v>
      </c>
      <c r="J28" t="s">
        <v>270</v>
      </c>
    </row>
    <row r="29" spans="1:11" x14ac:dyDescent="0.4">
      <c r="F29" t="s">
        <v>271</v>
      </c>
      <c r="G29" t="s">
        <v>272</v>
      </c>
      <c r="H29" t="s">
        <v>272</v>
      </c>
      <c r="I29" t="s">
        <v>272</v>
      </c>
      <c r="J29" t="s">
        <v>273</v>
      </c>
    </row>
    <row r="30" spans="1:11" x14ac:dyDescent="0.4">
      <c r="F30" t="s">
        <v>274</v>
      </c>
      <c r="G30" t="s">
        <v>275</v>
      </c>
      <c r="H30" t="s">
        <v>275</v>
      </c>
      <c r="I30" t="s">
        <v>275</v>
      </c>
      <c r="J30" t="s">
        <v>237</v>
      </c>
    </row>
    <row r="31" spans="1:11" x14ac:dyDescent="0.4">
      <c r="F31" t="s">
        <v>178</v>
      </c>
      <c r="G31" t="s">
        <v>276</v>
      </c>
      <c r="H31" t="s">
        <v>277</v>
      </c>
      <c r="I31" t="s">
        <v>226</v>
      </c>
      <c r="J31" t="s">
        <v>278</v>
      </c>
    </row>
    <row r="32" spans="1:11" x14ac:dyDescent="0.4">
      <c r="F32" t="s">
        <v>279</v>
      </c>
      <c r="G32" t="s">
        <v>202</v>
      </c>
      <c r="H32" t="s">
        <v>280</v>
      </c>
      <c r="I32" t="s">
        <v>281</v>
      </c>
      <c r="J32" t="s">
        <v>233</v>
      </c>
    </row>
    <row r="33" spans="1:11" x14ac:dyDescent="0.4">
      <c r="F33" t="s">
        <v>282</v>
      </c>
      <c r="G33" t="s">
        <v>210</v>
      </c>
      <c r="H33" t="s">
        <v>283</v>
      </c>
      <c r="I33" t="s">
        <v>284</v>
      </c>
      <c r="J33" t="s">
        <v>285</v>
      </c>
    </row>
    <row r="34" spans="1:11" x14ac:dyDescent="0.4">
      <c r="F34" t="s">
        <v>286</v>
      </c>
      <c r="G34" t="s">
        <v>287</v>
      </c>
      <c r="H34" t="s">
        <v>288</v>
      </c>
      <c r="I34" t="s">
        <v>164</v>
      </c>
      <c r="J34" t="s">
        <v>289</v>
      </c>
    </row>
    <row r="35" spans="1:11" x14ac:dyDescent="0.4">
      <c r="A35" t="s">
        <v>290</v>
      </c>
      <c r="B35" t="s">
        <v>291</v>
      </c>
      <c r="F35" t="s">
        <v>292</v>
      </c>
      <c r="G35" t="s">
        <v>293</v>
      </c>
      <c r="H35" t="s">
        <v>294</v>
      </c>
      <c r="I35" t="s">
        <v>295</v>
      </c>
      <c r="J35" t="s">
        <v>296</v>
      </c>
      <c r="K35" t="s">
        <v>297</v>
      </c>
    </row>
    <row r="36" spans="1:11" x14ac:dyDescent="0.4">
      <c r="F36" t="s">
        <v>298</v>
      </c>
      <c r="G36" t="s">
        <v>299</v>
      </c>
      <c r="H36" t="s">
        <v>216</v>
      </c>
      <c r="I36" t="s">
        <v>300</v>
      </c>
      <c r="J36" t="s">
        <v>301</v>
      </c>
    </row>
    <row r="37" spans="1:11" x14ac:dyDescent="0.4">
      <c r="F37" t="s">
        <v>302</v>
      </c>
      <c r="G37" t="s">
        <v>276</v>
      </c>
      <c r="H37" t="s">
        <v>237</v>
      </c>
      <c r="I37" t="s">
        <v>211</v>
      </c>
      <c r="J37" t="s">
        <v>303</v>
      </c>
    </row>
    <row r="38" spans="1:11" x14ac:dyDescent="0.4">
      <c r="A38" t="s">
        <v>50</v>
      </c>
      <c r="B38" t="s">
        <v>304</v>
      </c>
      <c r="F38" t="s">
        <v>231</v>
      </c>
      <c r="G38" t="s">
        <v>226</v>
      </c>
      <c r="H38" t="s">
        <v>248</v>
      </c>
      <c r="I38" t="s">
        <v>305</v>
      </c>
      <c r="J38" t="s">
        <v>262</v>
      </c>
      <c r="K38" t="s">
        <v>306</v>
      </c>
    </row>
  </sheetData>
  <phoneticPr fontId="1"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workbookViewId="0"/>
  </sheetViews>
  <sheetFormatPr defaultRowHeight="17.399999999999999" x14ac:dyDescent="0.4"/>
  <sheetData>
    <row r="1" spans="1:11" x14ac:dyDescent="0.4">
      <c r="A1" t="s">
        <v>2</v>
      </c>
      <c r="B1" t="s">
        <v>56</v>
      </c>
      <c r="C1" t="s">
        <v>134</v>
      </c>
      <c r="D1" t="s">
        <v>135</v>
      </c>
      <c r="E1" t="s">
        <v>136</v>
      </c>
      <c r="F1" t="s">
        <v>137</v>
      </c>
      <c r="K1" t="s">
        <v>138</v>
      </c>
    </row>
    <row r="2" spans="1:11" x14ac:dyDescent="0.4">
      <c r="F2" t="s">
        <v>139</v>
      </c>
      <c r="G2" t="s">
        <v>140</v>
      </c>
      <c r="H2" t="s">
        <v>141</v>
      </c>
      <c r="I2" t="s">
        <v>142</v>
      </c>
      <c r="J2" t="s">
        <v>143</v>
      </c>
    </row>
    <row r="3" spans="1:11" x14ac:dyDescent="0.4">
      <c r="A3" t="s">
        <v>6</v>
      </c>
      <c r="B3" t="s">
        <v>307</v>
      </c>
      <c r="F3" t="s">
        <v>308</v>
      </c>
      <c r="G3" t="s">
        <v>309</v>
      </c>
      <c r="H3" t="s">
        <v>192</v>
      </c>
      <c r="I3" t="s">
        <v>310</v>
      </c>
      <c r="J3" t="s">
        <v>311</v>
      </c>
      <c r="K3" t="s">
        <v>312</v>
      </c>
    </row>
    <row r="4" spans="1:11" x14ac:dyDescent="0.4">
      <c r="A4" t="s">
        <v>150</v>
      </c>
      <c r="B4" t="s">
        <v>313</v>
      </c>
      <c r="F4" t="s">
        <v>314</v>
      </c>
      <c r="G4" t="s">
        <v>315</v>
      </c>
      <c r="H4" t="s">
        <v>316</v>
      </c>
      <c r="I4" t="s">
        <v>277</v>
      </c>
      <c r="J4" t="s">
        <v>317</v>
      </c>
      <c r="K4" t="s">
        <v>318</v>
      </c>
    </row>
    <row r="5" spans="1:11" x14ac:dyDescent="0.4">
      <c r="F5" t="s">
        <v>319</v>
      </c>
      <c r="G5" t="s">
        <v>320</v>
      </c>
      <c r="H5" t="s">
        <v>321</v>
      </c>
      <c r="I5" t="s">
        <v>322</v>
      </c>
      <c r="J5" t="s">
        <v>167</v>
      </c>
    </row>
    <row r="6" spans="1:11" x14ac:dyDescent="0.4">
      <c r="F6" t="s">
        <v>323</v>
      </c>
      <c r="G6" t="s">
        <v>324</v>
      </c>
      <c r="H6" t="s">
        <v>325</v>
      </c>
      <c r="I6" t="s">
        <v>326</v>
      </c>
      <c r="J6" t="s">
        <v>327</v>
      </c>
    </row>
    <row r="7" spans="1:11" x14ac:dyDescent="0.4">
      <c r="F7" t="s">
        <v>328</v>
      </c>
      <c r="G7" t="s">
        <v>329</v>
      </c>
      <c r="H7" t="s">
        <v>330</v>
      </c>
      <c r="I7" t="s">
        <v>331</v>
      </c>
      <c r="J7" t="s">
        <v>258</v>
      </c>
    </row>
    <row r="8" spans="1:11" x14ac:dyDescent="0.4">
      <c r="F8" t="s">
        <v>286</v>
      </c>
      <c r="G8" t="s">
        <v>198</v>
      </c>
      <c r="H8" t="s">
        <v>332</v>
      </c>
      <c r="I8" t="s">
        <v>333</v>
      </c>
      <c r="J8" t="s">
        <v>319</v>
      </c>
    </row>
    <row r="9" spans="1:11" x14ac:dyDescent="0.4">
      <c r="F9" t="s">
        <v>330</v>
      </c>
      <c r="G9" t="s">
        <v>334</v>
      </c>
      <c r="H9" t="s">
        <v>333</v>
      </c>
      <c r="I9" t="s">
        <v>335</v>
      </c>
      <c r="J9" t="s">
        <v>336</v>
      </c>
    </row>
    <row r="10" spans="1:11" x14ac:dyDescent="0.4">
      <c r="F10" t="s">
        <v>337</v>
      </c>
      <c r="G10" t="s">
        <v>286</v>
      </c>
      <c r="H10" t="s">
        <v>286</v>
      </c>
      <c r="I10" t="s">
        <v>338</v>
      </c>
      <c r="J10" t="s">
        <v>338</v>
      </c>
    </row>
    <row r="11" spans="1:11" x14ac:dyDescent="0.4">
      <c r="F11" t="s">
        <v>178</v>
      </c>
      <c r="G11" t="s">
        <v>231</v>
      </c>
      <c r="H11" t="s">
        <v>334</v>
      </c>
      <c r="I11" t="s">
        <v>339</v>
      </c>
      <c r="J11" t="s">
        <v>340</v>
      </c>
    </row>
    <row r="12" spans="1:11" x14ac:dyDescent="0.4">
      <c r="A12" t="s">
        <v>341</v>
      </c>
      <c r="B12" t="s">
        <v>342</v>
      </c>
      <c r="F12" t="s">
        <v>264</v>
      </c>
      <c r="G12" t="s">
        <v>343</v>
      </c>
      <c r="H12" t="s">
        <v>277</v>
      </c>
      <c r="I12" t="s">
        <v>265</v>
      </c>
      <c r="J12" t="s">
        <v>344</v>
      </c>
      <c r="K12" t="s">
        <v>345</v>
      </c>
    </row>
    <row r="13" spans="1:11" x14ac:dyDescent="0.4">
      <c r="F13" t="s">
        <v>277</v>
      </c>
      <c r="G13" t="s">
        <v>211</v>
      </c>
      <c r="H13" t="s">
        <v>346</v>
      </c>
      <c r="I13" t="s">
        <v>347</v>
      </c>
      <c r="J13" t="s">
        <v>348</v>
      </c>
    </row>
    <row r="14" spans="1:11" x14ac:dyDescent="0.4">
      <c r="F14" t="s">
        <v>269</v>
      </c>
      <c r="G14" t="s">
        <v>325</v>
      </c>
      <c r="H14" t="s">
        <v>317</v>
      </c>
      <c r="I14" t="s">
        <v>349</v>
      </c>
      <c r="J14" t="s">
        <v>350</v>
      </c>
    </row>
    <row r="15" spans="1:11" x14ac:dyDescent="0.4">
      <c r="F15" t="s">
        <v>269</v>
      </c>
      <c r="G15" t="s">
        <v>160</v>
      </c>
      <c r="H15" t="s">
        <v>351</v>
      </c>
      <c r="I15" t="s">
        <v>164</v>
      </c>
      <c r="J15" t="s">
        <v>352</v>
      </c>
    </row>
    <row r="16" spans="1:11" x14ac:dyDescent="0.4">
      <c r="F16" t="s">
        <v>353</v>
      </c>
      <c r="G16" t="s">
        <v>354</v>
      </c>
      <c r="H16" t="s">
        <v>217</v>
      </c>
      <c r="I16" t="s">
        <v>355</v>
      </c>
      <c r="J16" t="s">
        <v>356</v>
      </c>
    </row>
    <row r="17" spans="1:11" x14ac:dyDescent="0.4">
      <c r="A17" t="s">
        <v>357</v>
      </c>
      <c r="B17" t="s">
        <v>358</v>
      </c>
      <c r="F17" t="s">
        <v>359</v>
      </c>
      <c r="G17" t="s">
        <v>360</v>
      </c>
      <c r="H17" t="s">
        <v>360</v>
      </c>
      <c r="I17" t="s">
        <v>299</v>
      </c>
      <c r="J17" t="s">
        <v>361</v>
      </c>
      <c r="K17" t="s">
        <v>362</v>
      </c>
    </row>
    <row r="18" spans="1:11" x14ac:dyDescent="0.4">
      <c r="F18" t="s">
        <v>363</v>
      </c>
      <c r="G18" t="s">
        <v>248</v>
      </c>
      <c r="H18" t="s">
        <v>364</v>
      </c>
      <c r="I18" t="s">
        <v>365</v>
      </c>
      <c r="J18" t="s">
        <v>347</v>
      </c>
    </row>
    <row r="19" spans="1:11" x14ac:dyDescent="0.4">
      <c r="A19" t="s">
        <v>366</v>
      </c>
      <c r="B19" t="s">
        <v>367</v>
      </c>
      <c r="F19" t="s">
        <v>368</v>
      </c>
      <c r="G19" t="s">
        <v>193</v>
      </c>
      <c r="H19" t="s">
        <v>369</v>
      </c>
      <c r="I19" t="s">
        <v>353</v>
      </c>
      <c r="J19" t="s">
        <v>283</v>
      </c>
      <c r="K19" t="s">
        <v>370</v>
      </c>
    </row>
    <row r="20" spans="1:11" x14ac:dyDescent="0.4">
      <c r="F20" t="s">
        <v>371</v>
      </c>
      <c r="G20" t="s">
        <v>199</v>
      </c>
      <c r="H20" t="s">
        <v>372</v>
      </c>
      <c r="I20" t="s">
        <v>202</v>
      </c>
      <c r="J20" t="s">
        <v>277</v>
      </c>
    </row>
    <row r="21" spans="1:11" x14ac:dyDescent="0.4">
      <c r="F21" t="s">
        <v>373</v>
      </c>
      <c r="G21" t="s">
        <v>374</v>
      </c>
      <c r="H21" t="s">
        <v>201</v>
      </c>
      <c r="I21" t="s">
        <v>305</v>
      </c>
      <c r="J21" t="s">
        <v>375</v>
      </c>
    </row>
    <row r="22" spans="1:11" x14ac:dyDescent="0.4">
      <c r="F22" t="s">
        <v>323</v>
      </c>
      <c r="G22" t="s">
        <v>364</v>
      </c>
      <c r="H22" t="s">
        <v>364</v>
      </c>
      <c r="I22" t="s">
        <v>376</v>
      </c>
      <c r="J22" t="s">
        <v>376</v>
      </c>
    </row>
    <row r="23" spans="1:11" x14ac:dyDescent="0.4">
      <c r="F23" t="s">
        <v>208</v>
      </c>
      <c r="G23" t="s">
        <v>237</v>
      </c>
      <c r="H23" t="s">
        <v>364</v>
      </c>
      <c r="I23" t="s">
        <v>377</v>
      </c>
      <c r="J23" t="s">
        <v>378</v>
      </c>
    </row>
    <row r="24" spans="1:11" x14ac:dyDescent="0.4">
      <c r="F24" t="s">
        <v>161</v>
      </c>
      <c r="G24" t="s">
        <v>210</v>
      </c>
      <c r="H24" t="s">
        <v>379</v>
      </c>
      <c r="I24" t="s">
        <v>293</v>
      </c>
      <c r="J24" t="s">
        <v>380</v>
      </c>
    </row>
    <row r="25" spans="1:11" x14ac:dyDescent="0.4">
      <c r="A25" t="s">
        <v>48</v>
      </c>
      <c r="B25" t="s">
        <v>381</v>
      </c>
      <c r="F25" t="s">
        <v>327</v>
      </c>
      <c r="G25" t="s">
        <v>327</v>
      </c>
      <c r="H25" t="s">
        <v>327</v>
      </c>
      <c r="I25" t="s">
        <v>327</v>
      </c>
      <c r="J25" t="s">
        <v>327</v>
      </c>
      <c r="K25" t="s">
        <v>382</v>
      </c>
    </row>
  </sheetData>
  <phoneticPr fontId="1"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8"/>
  <sheetViews>
    <sheetView workbookViewId="0"/>
  </sheetViews>
  <sheetFormatPr defaultRowHeight="17.399999999999999" x14ac:dyDescent="0.4"/>
  <sheetData>
    <row r="1" spans="1:11" x14ac:dyDescent="0.4">
      <c r="A1" t="s">
        <v>2</v>
      </c>
      <c r="B1" t="s">
        <v>56</v>
      </c>
      <c r="C1" t="s">
        <v>134</v>
      </c>
      <c r="D1" t="s">
        <v>135</v>
      </c>
      <c r="E1" t="s">
        <v>136</v>
      </c>
      <c r="F1" t="s">
        <v>137</v>
      </c>
      <c r="K1" t="s">
        <v>138</v>
      </c>
    </row>
    <row r="2" spans="1:11" x14ac:dyDescent="0.4">
      <c r="F2" t="s">
        <v>139</v>
      </c>
      <c r="G2" t="s">
        <v>140</v>
      </c>
      <c r="H2" t="s">
        <v>141</v>
      </c>
      <c r="I2" t="s">
        <v>142</v>
      </c>
      <c r="J2" t="s">
        <v>143</v>
      </c>
    </row>
    <row r="3" spans="1:11" x14ac:dyDescent="0.4">
      <c r="A3" t="s">
        <v>383</v>
      </c>
      <c r="B3" t="s">
        <v>384</v>
      </c>
      <c r="F3" t="s">
        <v>385</v>
      </c>
      <c r="G3" t="s">
        <v>386</v>
      </c>
      <c r="H3" t="s">
        <v>182</v>
      </c>
      <c r="I3" t="s">
        <v>387</v>
      </c>
      <c r="J3" t="s">
        <v>388</v>
      </c>
      <c r="K3" t="s">
        <v>389</v>
      </c>
    </row>
    <row r="4" spans="1:11" x14ac:dyDescent="0.4">
      <c r="F4" t="s">
        <v>174</v>
      </c>
      <c r="G4" t="s">
        <v>390</v>
      </c>
      <c r="H4" t="s">
        <v>391</v>
      </c>
      <c r="I4" t="s">
        <v>392</v>
      </c>
      <c r="J4" t="s">
        <v>393</v>
      </c>
    </row>
    <row r="5" spans="1:11" x14ac:dyDescent="0.4">
      <c r="A5" t="s">
        <v>394</v>
      </c>
      <c r="B5" t="s">
        <v>395</v>
      </c>
      <c r="F5" t="s">
        <v>154</v>
      </c>
      <c r="G5" t="s">
        <v>351</v>
      </c>
      <c r="H5" t="s">
        <v>208</v>
      </c>
      <c r="I5" t="s">
        <v>396</v>
      </c>
      <c r="J5" t="s">
        <v>397</v>
      </c>
      <c r="K5" t="s">
        <v>398</v>
      </c>
    </row>
    <row r="6" spans="1:11" x14ac:dyDescent="0.4">
      <c r="F6" t="s">
        <v>182</v>
      </c>
      <c r="G6" t="s">
        <v>328</v>
      </c>
      <c r="H6" t="s">
        <v>302</v>
      </c>
      <c r="I6" t="s">
        <v>399</v>
      </c>
      <c r="J6" t="s">
        <v>338</v>
      </c>
    </row>
    <row r="7" spans="1:11" x14ac:dyDescent="0.4">
      <c r="A7" t="s">
        <v>400</v>
      </c>
      <c r="B7" t="s">
        <v>401</v>
      </c>
      <c r="F7" t="s">
        <v>402</v>
      </c>
      <c r="G7" t="s">
        <v>403</v>
      </c>
      <c r="H7" t="s">
        <v>404</v>
      </c>
      <c r="I7" t="s">
        <v>405</v>
      </c>
      <c r="J7" t="s">
        <v>406</v>
      </c>
      <c r="K7" t="s">
        <v>407</v>
      </c>
    </row>
    <row r="8" spans="1:11" x14ac:dyDescent="0.4">
      <c r="F8" t="s">
        <v>371</v>
      </c>
      <c r="G8" t="s">
        <v>408</v>
      </c>
      <c r="H8" t="s">
        <v>405</v>
      </c>
      <c r="I8" t="s">
        <v>409</v>
      </c>
      <c r="J8" t="s">
        <v>223</v>
      </c>
    </row>
    <row r="9" spans="1:11" x14ac:dyDescent="0.4">
      <c r="F9" t="s">
        <v>185</v>
      </c>
      <c r="G9" t="s">
        <v>410</v>
      </c>
      <c r="H9" t="s">
        <v>226</v>
      </c>
      <c r="I9" t="s">
        <v>411</v>
      </c>
      <c r="J9" t="s">
        <v>412</v>
      </c>
    </row>
    <row r="10" spans="1:11" x14ac:dyDescent="0.4">
      <c r="F10" t="s">
        <v>413</v>
      </c>
      <c r="G10" t="s">
        <v>414</v>
      </c>
      <c r="H10" t="s">
        <v>415</v>
      </c>
      <c r="I10" t="s">
        <v>160</v>
      </c>
      <c r="J10" t="s">
        <v>416</v>
      </c>
    </row>
    <row r="11" spans="1:11" x14ac:dyDescent="0.4">
      <c r="A11" t="s">
        <v>417</v>
      </c>
      <c r="B11" t="s">
        <v>418</v>
      </c>
      <c r="F11" t="s">
        <v>419</v>
      </c>
      <c r="G11" t="s">
        <v>245</v>
      </c>
      <c r="H11" t="s">
        <v>420</v>
      </c>
      <c r="I11" t="s">
        <v>421</v>
      </c>
      <c r="J11" t="s">
        <v>422</v>
      </c>
      <c r="K11" t="s">
        <v>423</v>
      </c>
    </row>
    <row r="12" spans="1:11" x14ac:dyDescent="0.4">
      <c r="F12" t="s">
        <v>424</v>
      </c>
    </row>
    <row r="13" spans="1:11" x14ac:dyDescent="0.4">
      <c r="A13" t="s">
        <v>31</v>
      </c>
      <c r="B13" t="s">
        <v>425</v>
      </c>
      <c r="F13" t="s">
        <v>175</v>
      </c>
      <c r="G13" t="s">
        <v>426</v>
      </c>
      <c r="H13" t="s">
        <v>252</v>
      </c>
      <c r="I13" t="s">
        <v>427</v>
      </c>
      <c r="J13" t="s">
        <v>428</v>
      </c>
      <c r="K13" t="s">
        <v>429</v>
      </c>
    </row>
    <row r="14" spans="1:11" x14ac:dyDescent="0.4">
      <c r="A14" t="s">
        <v>430</v>
      </c>
      <c r="B14" t="s">
        <v>431</v>
      </c>
      <c r="F14" t="s">
        <v>330</v>
      </c>
      <c r="G14" t="s">
        <v>432</v>
      </c>
      <c r="H14" t="s">
        <v>165</v>
      </c>
      <c r="I14" t="s">
        <v>259</v>
      </c>
      <c r="J14" t="s">
        <v>203</v>
      </c>
      <c r="K14" t="s">
        <v>433</v>
      </c>
    </row>
    <row r="15" spans="1:11" x14ac:dyDescent="0.4">
      <c r="F15" t="s">
        <v>227</v>
      </c>
      <c r="G15" t="s">
        <v>348</v>
      </c>
      <c r="H15" t="s">
        <v>348</v>
      </c>
      <c r="I15" t="s">
        <v>434</v>
      </c>
      <c r="J15" t="s">
        <v>434</v>
      </c>
    </row>
    <row r="16" spans="1:11" x14ac:dyDescent="0.4">
      <c r="F16" t="s">
        <v>252</v>
      </c>
      <c r="G16" t="s">
        <v>365</v>
      </c>
      <c r="H16" t="s">
        <v>254</v>
      </c>
      <c r="I16" t="s">
        <v>273</v>
      </c>
      <c r="J16" t="s">
        <v>435</v>
      </c>
    </row>
    <row r="17" spans="1:11" x14ac:dyDescent="0.4">
      <c r="F17" t="s">
        <v>340</v>
      </c>
      <c r="G17" t="s">
        <v>204</v>
      </c>
      <c r="H17" t="s">
        <v>346</v>
      </c>
      <c r="I17" t="s">
        <v>436</v>
      </c>
      <c r="J17" t="s">
        <v>437</v>
      </c>
    </row>
    <row r="18" spans="1:11" x14ac:dyDescent="0.4">
      <c r="A18" t="s">
        <v>50</v>
      </c>
      <c r="B18" t="s">
        <v>438</v>
      </c>
      <c r="F18" t="s">
        <v>439</v>
      </c>
      <c r="G18" t="s">
        <v>243</v>
      </c>
      <c r="H18" t="s">
        <v>243</v>
      </c>
      <c r="I18" t="s">
        <v>377</v>
      </c>
      <c r="J18" t="s">
        <v>223</v>
      </c>
      <c r="K18" t="s">
        <v>440</v>
      </c>
    </row>
  </sheetData>
  <phoneticPr fontId="1"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workbookViewId="0"/>
  </sheetViews>
  <sheetFormatPr defaultRowHeight="17.399999999999999" x14ac:dyDescent="0.4"/>
  <sheetData>
    <row r="1" spans="1:11" x14ac:dyDescent="0.4">
      <c r="A1" t="s">
        <v>2</v>
      </c>
      <c r="B1" t="s">
        <v>56</v>
      </c>
      <c r="C1" t="s">
        <v>134</v>
      </c>
      <c r="D1" t="s">
        <v>135</v>
      </c>
      <c r="E1" t="s">
        <v>136</v>
      </c>
      <c r="F1" t="s">
        <v>137</v>
      </c>
      <c r="K1" t="s">
        <v>138</v>
      </c>
    </row>
    <row r="2" spans="1:11" x14ac:dyDescent="0.4">
      <c r="F2" t="s">
        <v>139</v>
      </c>
      <c r="G2" t="s">
        <v>140</v>
      </c>
      <c r="H2" t="s">
        <v>141</v>
      </c>
      <c r="I2" t="s">
        <v>142</v>
      </c>
      <c r="J2" t="s">
        <v>143</v>
      </c>
    </row>
    <row r="3" spans="1:11" x14ac:dyDescent="0.4">
      <c r="A3" t="s">
        <v>441</v>
      </c>
      <c r="B3" t="s">
        <v>442</v>
      </c>
      <c r="F3" t="s">
        <v>178</v>
      </c>
      <c r="G3" t="s">
        <v>443</v>
      </c>
      <c r="H3" t="s">
        <v>261</v>
      </c>
      <c r="I3" t="s">
        <v>444</v>
      </c>
      <c r="J3" t="s">
        <v>378</v>
      </c>
      <c r="K3" t="s">
        <v>445</v>
      </c>
    </row>
    <row r="4" spans="1:11" x14ac:dyDescent="0.4">
      <c r="F4" t="s">
        <v>176</v>
      </c>
      <c r="G4" t="s">
        <v>446</v>
      </c>
      <c r="H4" t="s">
        <v>446</v>
      </c>
      <c r="I4" t="s">
        <v>160</v>
      </c>
      <c r="J4" t="s">
        <v>194</v>
      </c>
    </row>
  </sheetData>
  <phoneticPr fontId="1"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
  <sheetViews>
    <sheetView workbookViewId="0"/>
  </sheetViews>
  <sheetFormatPr defaultRowHeight="17.399999999999999" x14ac:dyDescent="0.4"/>
  <sheetData>
    <row r="1" spans="1:11" x14ac:dyDescent="0.4">
      <c r="A1" t="s">
        <v>2</v>
      </c>
      <c r="B1" t="s">
        <v>56</v>
      </c>
      <c r="C1" t="s">
        <v>134</v>
      </c>
      <c r="D1" t="s">
        <v>135</v>
      </c>
      <c r="E1" t="s">
        <v>136</v>
      </c>
      <c r="F1" t="s">
        <v>137</v>
      </c>
      <c r="K1" t="s">
        <v>138</v>
      </c>
    </row>
    <row r="2" spans="1:11" x14ac:dyDescent="0.4">
      <c r="F2" t="s">
        <v>139</v>
      </c>
      <c r="G2" t="s">
        <v>140</v>
      </c>
      <c r="H2" t="s">
        <v>141</v>
      </c>
      <c r="I2" t="s">
        <v>142</v>
      </c>
      <c r="J2" t="s">
        <v>143</v>
      </c>
    </row>
    <row r="3" spans="1:11" x14ac:dyDescent="0.4">
      <c r="A3" t="s">
        <v>447</v>
      </c>
      <c r="B3" t="s">
        <v>448</v>
      </c>
      <c r="F3" t="s">
        <v>449</v>
      </c>
      <c r="G3" t="s">
        <v>450</v>
      </c>
      <c r="H3" t="s">
        <v>450</v>
      </c>
      <c r="I3" t="s">
        <v>451</v>
      </c>
      <c r="J3" t="s">
        <v>452</v>
      </c>
      <c r="K3" t="s">
        <v>453</v>
      </c>
    </row>
    <row r="4" spans="1:11" x14ac:dyDescent="0.4">
      <c r="F4" t="s">
        <v>145</v>
      </c>
      <c r="G4" t="s">
        <v>145</v>
      </c>
      <c r="H4" t="s">
        <v>145</v>
      </c>
      <c r="I4" t="s">
        <v>145</v>
      </c>
      <c r="J4" t="s">
        <v>145</v>
      </c>
    </row>
    <row r="5" spans="1:11" x14ac:dyDescent="0.4">
      <c r="F5" t="s">
        <v>454</v>
      </c>
      <c r="G5" t="s">
        <v>455</v>
      </c>
      <c r="H5" t="s">
        <v>455</v>
      </c>
      <c r="I5" t="s">
        <v>456</v>
      </c>
      <c r="J5" t="s">
        <v>457</v>
      </c>
    </row>
    <row r="6" spans="1:11" x14ac:dyDescent="0.4">
      <c r="F6" t="s">
        <v>145</v>
      </c>
      <c r="G6" t="s">
        <v>458</v>
      </c>
      <c r="H6" t="s">
        <v>449</v>
      </c>
      <c r="I6" t="s">
        <v>459</v>
      </c>
      <c r="J6" t="s">
        <v>460</v>
      </c>
    </row>
    <row r="7" spans="1:11" x14ac:dyDescent="0.4">
      <c r="F7" t="s">
        <v>424</v>
      </c>
    </row>
    <row r="8" spans="1:11" x14ac:dyDescent="0.4">
      <c r="F8" t="s">
        <v>461</v>
      </c>
      <c r="G8" t="s">
        <v>462</v>
      </c>
      <c r="H8" t="s">
        <v>462</v>
      </c>
      <c r="I8" t="s">
        <v>463</v>
      </c>
      <c r="J8" t="s">
        <v>463</v>
      </c>
    </row>
  </sheetData>
  <phoneticPr fontId="1"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1"/>
  <sheetViews>
    <sheetView workbookViewId="0"/>
  </sheetViews>
  <sheetFormatPr defaultRowHeight="17.399999999999999" x14ac:dyDescent="0.4"/>
  <sheetData>
    <row r="1" spans="1:11" x14ac:dyDescent="0.4">
      <c r="A1" t="s">
        <v>2</v>
      </c>
      <c r="B1" t="s">
        <v>56</v>
      </c>
      <c r="C1" t="s">
        <v>134</v>
      </c>
      <c r="D1" t="s">
        <v>135</v>
      </c>
      <c r="E1" t="s">
        <v>136</v>
      </c>
      <c r="F1" t="s">
        <v>137</v>
      </c>
      <c r="K1" t="s">
        <v>138</v>
      </c>
    </row>
    <row r="2" spans="1:11" x14ac:dyDescent="0.4">
      <c r="F2" t="s">
        <v>139</v>
      </c>
      <c r="G2" t="s">
        <v>140</v>
      </c>
      <c r="H2" t="s">
        <v>141</v>
      </c>
      <c r="I2" t="s">
        <v>142</v>
      </c>
      <c r="J2" t="s">
        <v>143</v>
      </c>
    </row>
    <row r="3" spans="1:11" x14ac:dyDescent="0.4">
      <c r="A3" t="s">
        <v>6</v>
      </c>
      <c r="B3" t="s">
        <v>464</v>
      </c>
      <c r="F3" t="s">
        <v>465</v>
      </c>
      <c r="G3" t="s">
        <v>174</v>
      </c>
      <c r="H3" t="s">
        <v>466</v>
      </c>
      <c r="I3" t="s">
        <v>163</v>
      </c>
      <c r="J3" t="s">
        <v>310</v>
      </c>
      <c r="K3" t="s">
        <v>467</v>
      </c>
    </row>
    <row r="4" spans="1:11" x14ac:dyDescent="0.4">
      <c r="A4" t="s">
        <v>150</v>
      </c>
      <c r="B4" t="s">
        <v>468</v>
      </c>
      <c r="F4" t="s">
        <v>469</v>
      </c>
      <c r="G4" t="s">
        <v>225</v>
      </c>
      <c r="H4" t="s">
        <v>225</v>
      </c>
      <c r="I4" t="s">
        <v>154</v>
      </c>
      <c r="J4" t="s">
        <v>154</v>
      </c>
      <c r="K4" t="s">
        <v>470</v>
      </c>
    </row>
    <row r="5" spans="1:11" x14ac:dyDescent="0.4">
      <c r="F5" t="s">
        <v>471</v>
      </c>
      <c r="G5" t="s">
        <v>472</v>
      </c>
      <c r="H5" t="s">
        <v>473</v>
      </c>
      <c r="I5" t="s">
        <v>473</v>
      </c>
      <c r="J5" t="s">
        <v>474</v>
      </c>
    </row>
    <row r="6" spans="1:11" x14ac:dyDescent="0.4">
      <c r="F6" t="s">
        <v>409</v>
      </c>
      <c r="G6" t="s">
        <v>377</v>
      </c>
      <c r="H6" t="s">
        <v>377</v>
      </c>
      <c r="I6" t="s">
        <v>268</v>
      </c>
      <c r="J6" t="s">
        <v>268</v>
      </c>
    </row>
    <row r="7" spans="1:11" x14ac:dyDescent="0.4">
      <c r="F7" t="s">
        <v>168</v>
      </c>
      <c r="G7" t="s">
        <v>390</v>
      </c>
      <c r="H7" t="s">
        <v>390</v>
      </c>
      <c r="I7" t="s">
        <v>475</v>
      </c>
      <c r="J7" t="s">
        <v>475</v>
      </c>
    </row>
    <row r="8" spans="1:11" x14ac:dyDescent="0.4">
      <c r="F8" t="s">
        <v>399</v>
      </c>
      <c r="G8" t="s">
        <v>476</v>
      </c>
      <c r="H8" t="s">
        <v>311</v>
      </c>
      <c r="I8" t="s">
        <v>477</v>
      </c>
      <c r="J8" t="s">
        <v>330</v>
      </c>
    </row>
    <row r="9" spans="1:11" x14ac:dyDescent="0.4">
      <c r="F9" t="s">
        <v>478</v>
      </c>
      <c r="G9" t="s">
        <v>479</v>
      </c>
      <c r="H9" t="s">
        <v>330</v>
      </c>
      <c r="I9" t="s">
        <v>480</v>
      </c>
      <c r="J9" t="s">
        <v>480</v>
      </c>
    </row>
    <row r="10" spans="1:11" x14ac:dyDescent="0.4">
      <c r="F10" t="s">
        <v>481</v>
      </c>
      <c r="G10" t="s">
        <v>482</v>
      </c>
      <c r="H10" t="s">
        <v>482</v>
      </c>
      <c r="I10" t="s">
        <v>483</v>
      </c>
      <c r="J10" t="s">
        <v>483</v>
      </c>
    </row>
    <row r="11" spans="1:11" x14ac:dyDescent="0.4">
      <c r="F11" t="s">
        <v>180</v>
      </c>
      <c r="G11" t="s">
        <v>181</v>
      </c>
      <c r="H11" t="s">
        <v>181</v>
      </c>
      <c r="I11" t="s">
        <v>287</v>
      </c>
      <c r="J11" t="s">
        <v>287</v>
      </c>
    </row>
    <row r="12" spans="1:11" x14ac:dyDescent="0.4">
      <c r="A12" t="s">
        <v>484</v>
      </c>
      <c r="B12" t="s">
        <v>485</v>
      </c>
      <c r="F12" t="s">
        <v>426</v>
      </c>
      <c r="G12" t="s">
        <v>426</v>
      </c>
      <c r="H12" t="s">
        <v>426</v>
      </c>
      <c r="I12" t="s">
        <v>426</v>
      </c>
      <c r="J12" t="s">
        <v>426</v>
      </c>
      <c r="K12" t="s">
        <v>486</v>
      </c>
    </row>
    <row r="13" spans="1:11" x14ac:dyDescent="0.4">
      <c r="F13" t="s">
        <v>487</v>
      </c>
      <c r="G13" t="s">
        <v>295</v>
      </c>
      <c r="H13" t="s">
        <v>295</v>
      </c>
      <c r="I13" t="s">
        <v>347</v>
      </c>
      <c r="J13" t="s">
        <v>347</v>
      </c>
    </row>
    <row r="14" spans="1:11" x14ac:dyDescent="0.4">
      <c r="F14" t="s">
        <v>333</v>
      </c>
      <c r="G14" t="s">
        <v>288</v>
      </c>
      <c r="H14" t="s">
        <v>323</v>
      </c>
      <c r="I14" t="s">
        <v>488</v>
      </c>
      <c r="J14" t="s">
        <v>416</v>
      </c>
    </row>
    <row r="15" spans="1:11" x14ac:dyDescent="0.4">
      <c r="F15" t="s">
        <v>409</v>
      </c>
      <c r="G15" t="s">
        <v>409</v>
      </c>
      <c r="H15" t="s">
        <v>409</v>
      </c>
      <c r="I15" t="s">
        <v>409</v>
      </c>
      <c r="J15" t="s">
        <v>409</v>
      </c>
    </row>
    <row r="16" spans="1:11" x14ac:dyDescent="0.4">
      <c r="A16" t="s">
        <v>26</v>
      </c>
      <c r="B16" t="s">
        <v>489</v>
      </c>
      <c r="F16" t="s">
        <v>424</v>
      </c>
      <c r="K16" t="s">
        <v>490</v>
      </c>
    </row>
    <row r="17" spans="1:11" x14ac:dyDescent="0.4">
      <c r="A17" t="s">
        <v>357</v>
      </c>
      <c r="B17" t="s">
        <v>491</v>
      </c>
      <c r="F17" t="s">
        <v>492</v>
      </c>
      <c r="G17" t="s">
        <v>492</v>
      </c>
      <c r="H17" t="s">
        <v>492</v>
      </c>
      <c r="I17" t="s">
        <v>492</v>
      </c>
      <c r="J17" t="s">
        <v>492</v>
      </c>
      <c r="K17" t="s">
        <v>493</v>
      </c>
    </row>
    <row r="18" spans="1:11" x14ac:dyDescent="0.4">
      <c r="F18" t="s">
        <v>494</v>
      </c>
      <c r="G18" t="s">
        <v>495</v>
      </c>
      <c r="H18" t="s">
        <v>495</v>
      </c>
      <c r="I18" t="s">
        <v>268</v>
      </c>
      <c r="J18" t="s">
        <v>268</v>
      </c>
    </row>
    <row r="19" spans="1:11" x14ac:dyDescent="0.4">
      <c r="A19" t="s">
        <v>256</v>
      </c>
      <c r="B19" t="s">
        <v>496</v>
      </c>
      <c r="F19" t="s">
        <v>251</v>
      </c>
      <c r="G19" t="s">
        <v>497</v>
      </c>
      <c r="H19" t="s">
        <v>497</v>
      </c>
      <c r="I19" t="s">
        <v>209</v>
      </c>
      <c r="J19" t="s">
        <v>209</v>
      </c>
      <c r="K19" t="s">
        <v>498</v>
      </c>
    </row>
    <row r="20" spans="1:11" x14ac:dyDescent="0.4">
      <c r="F20" t="s">
        <v>499</v>
      </c>
      <c r="G20" t="s">
        <v>499</v>
      </c>
      <c r="H20" t="s">
        <v>499</v>
      </c>
      <c r="I20" t="s">
        <v>499</v>
      </c>
      <c r="J20" t="s">
        <v>499</v>
      </c>
    </row>
    <row r="21" spans="1:11" x14ac:dyDescent="0.4">
      <c r="F21" t="s">
        <v>500</v>
      </c>
      <c r="G21" t="s">
        <v>500</v>
      </c>
      <c r="H21" t="s">
        <v>500</v>
      </c>
      <c r="I21" t="s">
        <v>500</v>
      </c>
      <c r="J21" t="s">
        <v>500</v>
      </c>
    </row>
    <row r="22" spans="1:11" x14ac:dyDescent="0.4">
      <c r="F22" t="s">
        <v>261</v>
      </c>
      <c r="G22" t="s">
        <v>261</v>
      </c>
      <c r="H22" t="s">
        <v>261</v>
      </c>
      <c r="I22" t="s">
        <v>261</v>
      </c>
      <c r="J22" t="s">
        <v>261</v>
      </c>
    </row>
    <row r="23" spans="1:11" x14ac:dyDescent="0.4">
      <c r="F23" t="s">
        <v>424</v>
      </c>
    </row>
    <row r="24" spans="1:11" x14ac:dyDescent="0.4">
      <c r="F24" t="s">
        <v>501</v>
      </c>
      <c r="G24" t="s">
        <v>261</v>
      </c>
      <c r="H24" t="s">
        <v>261</v>
      </c>
      <c r="I24" t="s">
        <v>280</v>
      </c>
      <c r="J24" t="s">
        <v>280</v>
      </c>
    </row>
    <row r="25" spans="1:11" x14ac:dyDescent="0.4">
      <c r="F25" t="s">
        <v>250</v>
      </c>
      <c r="G25" t="s">
        <v>250</v>
      </c>
      <c r="H25" t="s">
        <v>250</v>
      </c>
      <c r="I25" t="s">
        <v>250</v>
      </c>
      <c r="J25" t="s">
        <v>250</v>
      </c>
    </row>
    <row r="26" spans="1:11" x14ac:dyDescent="0.4">
      <c r="F26" t="s">
        <v>424</v>
      </c>
    </row>
    <row r="27" spans="1:11" x14ac:dyDescent="0.4">
      <c r="F27" t="s">
        <v>502</v>
      </c>
      <c r="G27" t="s">
        <v>503</v>
      </c>
      <c r="H27" t="s">
        <v>503</v>
      </c>
      <c r="I27" t="s">
        <v>504</v>
      </c>
      <c r="J27" t="s">
        <v>504</v>
      </c>
    </row>
    <row r="28" spans="1:11" x14ac:dyDescent="0.4">
      <c r="A28" t="s">
        <v>290</v>
      </c>
      <c r="B28" t="s">
        <v>505</v>
      </c>
      <c r="F28" t="s">
        <v>424</v>
      </c>
      <c r="K28" t="s">
        <v>506</v>
      </c>
    </row>
    <row r="29" spans="1:11" x14ac:dyDescent="0.4">
      <c r="F29" t="s">
        <v>424</v>
      </c>
    </row>
    <row r="30" spans="1:11" x14ac:dyDescent="0.4">
      <c r="F30" t="s">
        <v>424</v>
      </c>
    </row>
    <row r="31" spans="1:11" x14ac:dyDescent="0.4">
      <c r="A31" t="s">
        <v>50</v>
      </c>
      <c r="B31" t="s">
        <v>507</v>
      </c>
      <c r="F31" t="s">
        <v>427</v>
      </c>
      <c r="G31" t="s">
        <v>427</v>
      </c>
      <c r="H31" t="s">
        <v>427</v>
      </c>
      <c r="I31" t="s">
        <v>427</v>
      </c>
      <c r="J31" t="s">
        <v>427</v>
      </c>
      <c r="K31" t="s">
        <v>382</v>
      </c>
    </row>
  </sheetData>
  <phoneticPr fontId="1"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heetViews>
  <sheetFormatPr defaultRowHeight="17.399999999999999" x14ac:dyDescent="0.4"/>
  <sheetData>
    <row r="1" spans="1:11" x14ac:dyDescent="0.4">
      <c r="A1" t="s">
        <v>2</v>
      </c>
      <c r="B1" t="s">
        <v>56</v>
      </c>
      <c r="C1" t="s">
        <v>134</v>
      </c>
      <c r="D1" t="s">
        <v>135</v>
      </c>
      <c r="E1" t="s">
        <v>136</v>
      </c>
      <c r="F1" t="s">
        <v>137</v>
      </c>
      <c r="K1" t="s">
        <v>138</v>
      </c>
    </row>
    <row r="2" spans="1:11" x14ac:dyDescent="0.4">
      <c r="F2" t="s">
        <v>139</v>
      </c>
      <c r="G2" t="s">
        <v>140</v>
      </c>
      <c r="H2" t="s">
        <v>141</v>
      </c>
      <c r="I2" t="s">
        <v>142</v>
      </c>
      <c r="J2" t="s">
        <v>143</v>
      </c>
    </row>
    <row r="3" spans="1:11" x14ac:dyDescent="0.4">
      <c r="A3" t="s">
        <v>6</v>
      </c>
      <c r="B3" t="s">
        <v>508</v>
      </c>
      <c r="F3" t="s">
        <v>509</v>
      </c>
      <c r="G3" t="s">
        <v>510</v>
      </c>
      <c r="H3" t="s">
        <v>510</v>
      </c>
      <c r="I3" t="s">
        <v>511</v>
      </c>
      <c r="J3" t="s">
        <v>512</v>
      </c>
      <c r="K3" t="s">
        <v>467</v>
      </c>
    </row>
    <row r="4" spans="1:11" x14ac:dyDescent="0.4">
      <c r="A4" t="s">
        <v>513</v>
      </c>
      <c r="B4" t="s">
        <v>514</v>
      </c>
      <c r="F4" t="s">
        <v>209</v>
      </c>
      <c r="G4" t="s">
        <v>209</v>
      </c>
      <c r="H4" t="s">
        <v>209</v>
      </c>
      <c r="I4" t="s">
        <v>209</v>
      </c>
      <c r="J4" t="s">
        <v>209</v>
      </c>
      <c r="K4" t="s">
        <v>515</v>
      </c>
    </row>
    <row r="5" spans="1:11" x14ac:dyDescent="0.4">
      <c r="F5" t="s">
        <v>516</v>
      </c>
      <c r="G5" t="s">
        <v>332</v>
      </c>
      <c r="H5" t="s">
        <v>332</v>
      </c>
      <c r="I5" t="s">
        <v>198</v>
      </c>
      <c r="J5" t="s">
        <v>198</v>
      </c>
    </row>
    <row r="6" spans="1:11" x14ac:dyDescent="0.4">
      <c r="F6" t="s">
        <v>517</v>
      </c>
      <c r="G6" t="s">
        <v>517</v>
      </c>
      <c r="H6" t="s">
        <v>517</v>
      </c>
      <c r="I6" t="s">
        <v>517</v>
      </c>
      <c r="J6" t="s">
        <v>517</v>
      </c>
    </row>
    <row r="7" spans="1:11" x14ac:dyDescent="0.4">
      <c r="F7" t="s">
        <v>390</v>
      </c>
      <c r="G7" t="s">
        <v>518</v>
      </c>
      <c r="H7" t="s">
        <v>518</v>
      </c>
      <c r="I7" t="s">
        <v>286</v>
      </c>
      <c r="J7" t="s">
        <v>286</v>
      </c>
    </row>
    <row r="8" spans="1:11" x14ac:dyDescent="0.4">
      <c r="F8" t="s">
        <v>519</v>
      </c>
      <c r="G8" t="s">
        <v>520</v>
      </c>
      <c r="H8" t="s">
        <v>520</v>
      </c>
      <c r="I8" t="s">
        <v>521</v>
      </c>
      <c r="J8" t="s">
        <v>521</v>
      </c>
    </row>
    <row r="9" spans="1:11" x14ac:dyDescent="0.4">
      <c r="A9" t="s">
        <v>29</v>
      </c>
      <c r="B9" t="s">
        <v>522</v>
      </c>
      <c r="F9" t="s">
        <v>424</v>
      </c>
      <c r="K9" t="s">
        <v>490</v>
      </c>
    </row>
    <row r="10" spans="1:11" x14ac:dyDescent="0.4">
      <c r="A10" t="s">
        <v>35</v>
      </c>
      <c r="B10" t="s">
        <v>523</v>
      </c>
      <c r="F10" t="s">
        <v>424</v>
      </c>
      <c r="K10" t="s">
        <v>524</v>
      </c>
    </row>
    <row r="11" spans="1:11" x14ac:dyDescent="0.4">
      <c r="A11" t="s">
        <v>50</v>
      </c>
      <c r="B11" t="s">
        <v>525</v>
      </c>
      <c r="F11" t="s">
        <v>315</v>
      </c>
      <c r="G11" t="s">
        <v>315</v>
      </c>
      <c r="H11" t="s">
        <v>315</v>
      </c>
      <c r="I11" t="s">
        <v>315</v>
      </c>
      <c r="J11" t="s">
        <v>315</v>
      </c>
      <c r="K11" t="s">
        <v>526</v>
      </c>
    </row>
  </sheetData>
  <phoneticPr fontId="1"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
  <sheetViews>
    <sheetView workbookViewId="0"/>
  </sheetViews>
  <sheetFormatPr defaultRowHeight="17.399999999999999" x14ac:dyDescent="0.4"/>
  <sheetData>
    <row r="1" spans="1:11" x14ac:dyDescent="0.4">
      <c r="A1" t="s">
        <v>2</v>
      </c>
      <c r="B1" t="s">
        <v>56</v>
      </c>
      <c r="C1" t="s">
        <v>134</v>
      </c>
      <c r="D1" t="s">
        <v>135</v>
      </c>
      <c r="E1" t="s">
        <v>136</v>
      </c>
      <c r="F1" t="s">
        <v>137</v>
      </c>
      <c r="K1" t="s">
        <v>138</v>
      </c>
    </row>
    <row r="2" spans="1:11" x14ac:dyDescent="0.4">
      <c r="F2" t="s">
        <v>139</v>
      </c>
      <c r="G2" t="s">
        <v>140</v>
      </c>
      <c r="H2" t="s">
        <v>141</v>
      </c>
      <c r="I2" t="s">
        <v>142</v>
      </c>
      <c r="J2" t="s">
        <v>143</v>
      </c>
    </row>
    <row r="3" spans="1:11" x14ac:dyDescent="0.4">
      <c r="A3" t="s">
        <v>31</v>
      </c>
      <c r="B3" t="s">
        <v>527</v>
      </c>
      <c r="F3" t="s">
        <v>172</v>
      </c>
      <c r="G3" t="s">
        <v>528</v>
      </c>
      <c r="H3" t="s">
        <v>380</v>
      </c>
      <c r="I3" t="s">
        <v>529</v>
      </c>
      <c r="J3" t="s">
        <v>530</v>
      </c>
      <c r="K3" t="s">
        <v>531</v>
      </c>
    </row>
  </sheetData>
  <phoneticPr fontId="1"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
  <sheetViews>
    <sheetView workbookViewId="0"/>
  </sheetViews>
  <sheetFormatPr defaultRowHeight="17.399999999999999" x14ac:dyDescent="0.4"/>
  <sheetData>
    <row r="1" spans="1:11" x14ac:dyDescent="0.4">
      <c r="A1" t="s">
        <v>2</v>
      </c>
      <c r="B1" t="s">
        <v>56</v>
      </c>
      <c r="C1" t="s">
        <v>134</v>
      </c>
      <c r="D1" t="s">
        <v>135</v>
      </c>
      <c r="E1" t="s">
        <v>136</v>
      </c>
      <c r="F1" t="s">
        <v>137</v>
      </c>
      <c r="K1" t="s">
        <v>138</v>
      </c>
    </row>
    <row r="2" spans="1:11" x14ac:dyDescent="0.4">
      <c r="F2" t="s">
        <v>139</v>
      </c>
      <c r="G2" t="s">
        <v>140</v>
      </c>
      <c r="H2" t="s">
        <v>141</v>
      </c>
      <c r="I2" t="s">
        <v>142</v>
      </c>
      <c r="J2" t="s">
        <v>143</v>
      </c>
    </row>
    <row r="3" spans="1:11" x14ac:dyDescent="0.4">
      <c r="A3" t="s">
        <v>44</v>
      </c>
      <c r="B3" t="s">
        <v>532</v>
      </c>
      <c r="F3" t="s">
        <v>533</v>
      </c>
      <c r="G3" t="s">
        <v>528</v>
      </c>
      <c r="H3" t="s">
        <v>492</v>
      </c>
      <c r="I3" t="s">
        <v>534</v>
      </c>
      <c r="J3" t="s">
        <v>535</v>
      </c>
      <c r="K3" t="s">
        <v>536</v>
      </c>
    </row>
  </sheetData>
  <phoneticPr fontId="1"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
  <sheetViews>
    <sheetView workbookViewId="0"/>
  </sheetViews>
  <sheetFormatPr defaultRowHeight="17.399999999999999" x14ac:dyDescent="0.4"/>
  <sheetData>
    <row r="1" spans="1:7" x14ac:dyDescent="0.4">
      <c r="A1" t="s">
        <v>537</v>
      </c>
      <c r="B1" t="s">
        <v>538</v>
      </c>
      <c r="C1" t="s">
        <v>539</v>
      </c>
      <c r="G1" t="s">
        <v>540</v>
      </c>
    </row>
    <row r="2" spans="1:7" x14ac:dyDescent="0.4">
      <c r="C2" t="s">
        <v>541</v>
      </c>
      <c r="D2" t="s">
        <v>542</v>
      </c>
      <c r="E2" t="s">
        <v>543</v>
      </c>
      <c r="F2" t="s">
        <v>544</v>
      </c>
    </row>
    <row r="3" spans="1:7" x14ac:dyDescent="0.4">
      <c r="A3" t="s">
        <v>545</v>
      </c>
      <c r="B3" t="s">
        <v>546</v>
      </c>
      <c r="C3" t="s">
        <v>547</v>
      </c>
      <c r="D3" t="s">
        <v>547</v>
      </c>
      <c r="E3" t="s">
        <v>547</v>
      </c>
      <c r="F3" t="s">
        <v>548</v>
      </c>
      <c r="G3" t="s">
        <v>549</v>
      </c>
    </row>
    <row r="4" spans="1:7" x14ac:dyDescent="0.4">
      <c r="A4" t="s">
        <v>4</v>
      </c>
      <c r="B4" t="s">
        <v>524</v>
      </c>
      <c r="C4" t="s">
        <v>550</v>
      </c>
      <c r="D4" t="s">
        <v>551</v>
      </c>
      <c r="E4" t="s">
        <v>550</v>
      </c>
      <c r="F4" t="s">
        <v>552</v>
      </c>
      <c r="G4" t="s">
        <v>553</v>
      </c>
    </row>
    <row r="5" spans="1:7" x14ac:dyDescent="0.4">
      <c r="A5" t="s">
        <v>554</v>
      </c>
    </row>
  </sheetData>
  <phoneticPr fontId="1"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workbookViewId="0"/>
  </sheetViews>
  <sheetFormatPr defaultRowHeight="17.399999999999999" x14ac:dyDescent="0.4"/>
  <sheetData>
    <row r="1" spans="1:10" x14ac:dyDescent="0.4">
      <c r="A1" t="s">
        <v>537</v>
      </c>
      <c r="B1" t="s">
        <v>115</v>
      </c>
      <c r="C1" t="s">
        <v>116</v>
      </c>
      <c r="D1" t="s">
        <v>117</v>
      </c>
      <c r="E1" t="s">
        <v>118</v>
      </c>
      <c r="F1" t="s">
        <v>119</v>
      </c>
      <c r="G1" t="s">
        <v>120</v>
      </c>
      <c r="H1" t="s">
        <v>121</v>
      </c>
      <c r="I1" t="s">
        <v>122</v>
      </c>
      <c r="J1" t="s">
        <v>123</v>
      </c>
    </row>
    <row r="2" spans="1:10" x14ac:dyDescent="0.4">
      <c r="A2" t="s">
        <v>545</v>
      </c>
      <c r="B2" t="s">
        <v>125</v>
      </c>
      <c r="C2" t="s">
        <v>126</v>
      </c>
      <c r="D2" t="s">
        <v>127</v>
      </c>
      <c r="E2" t="s">
        <v>128</v>
      </c>
      <c r="F2" t="s">
        <v>129</v>
      </c>
      <c r="G2" t="s">
        <v>130</v>
      </c>
      <c r="H2" t="s">
        <v>131</v>
      </c>
      <c r="I2" t="s">
        <v>132</v>
      </c>
      <c r="J2" t="s">
        <v>133</v>
      </c>
    </row>
    <row r="3" spans="1:10" x14ac:dyDescent="0.4">
      <c r="A3" t="s">
        <v>555</v>
      </c>
      <c r="B3" t="s">
        <v>125</v>
      </c>
      <c r="C3" t="s">
        <v>556</v>
      </c>
      <c r="D3" t="s">
        <v>130</v>
      </c>
      <c r="E3" t="s">
        <v>557</v>
      </c>
      <c r="F3" t="s">
        <v>558</v>
      </c>
      <c r="G3" t="s">
        <v>559</v>
      </c>
      <c r="H3" t="s">
        <v>560</v>
      </c>
      <c r="I3" t="s">
        <v>561</v>
      </c>
      <c r="J3" t="s">
        <v>562</v>
      </c>
    </row>
  </sheetData>
  <phoneticPr fontId="1"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Views>
    <sheetView workbookViewId="0"/>
  </sheetViews>
  <sheetFormatPr defaultRowHeight="17.399999999999999" x14ac:dyDescent="0.4"/>
  <sheetData>
    <row r="1" spans="1:4" x14ac:dyDescent="0.4">
      <c r="A1" t="s">
        <v>563</v>
      </c>
      <c r="B1" t="s">
        <v>2</v>
      </c>
      <c r="C1" t="s">
        <v>564</v>
      </c>
      <c r="D1" t="s">
        <v>565</v>
      </c>
    </row>
    <row r="2" spans="1:4" x14ac:dyDescent="0.4">
      <c r="A2" t="s">
        <v>566</v>
      </c>
      <c r="B2" t="s">
        <v>567</v>
      </c>
      <c r="C2" t="s">
        <v>568</v>
      </c>
      <c r="D2" t="s">
        <v>569</v>
      </c>
    </row>
    <row r="3" spans="1:4" x14ac:dyDescent="0.4">
      <c r="B3" t="s">
        <v>4</v>
      </c>
      <c r="C3" t="s">
        <v>568</v>
      </c>
      <c r="D3" t="s">
        <v>570</v>
      </c>
    </row>
    <row r="4" spans="1:4" x14ac:dyDescent="0.4">
      <c r="A4" t="s">
        <v>571</v>
      </c>
      <c r="B4" t="s">
        <v>555</v>
      </c>
      <c r="C4" t="s">
        <v>572</v>
      </c>
      <c r="D4" t="s">
        <v>573</v>
      </c>
    </row>
  </sheetData>
  <phoneticPr fontId="1"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
  <sheetViews>
    <sheetView workbookViewId="0"/>
  </sheetViews>
  <sheetFormatPr defaultRowHeight="17.399999999999999" x14ac:dyDescent="0.4"/>
  <sheetData>
    <row r="1" spans="1:13" x14ac:dyDescent="0.4">
      <c r="A1" t="s">
        <v>574</v>
      </c>
      <c r="B1" t="s">
        <v>2</v>
      </c>
      <c r="C1" t="s">
        <v>575</v>
      </c>
      <c r="E1" t="s">
        <v>134</v>
      </c>
      <c r="F1" t="s">
        <v>135</v>
      </c>
      <c r="G1" t="s">
        <v>136</v>
      </c>
      <c r="H1" t="s">
        <v>576</v>
      </c>
      <c r="M1" t="s">
        <v>577</v>
      </c>
    </row>
    <row r="2" spans="1:13" x14ac:dyDescent="0.4">
      <c r="C2" t="s">
        <v>578</v>
      </c>
      <c r="D2" t="s">
        <v>579</v>
      </c>
      <c r="H2" t="s">
        <v>139</v>
      </c>
      <c r="I2" t="s">
        <v>140</v>
      </c>
      <c r="J2" t="s">
        <v>141</v>
      </c>
      <c r="K2" t="s">
        <v>142</v>
      </c>
      <c r="L2" t="s">
        <v>143</v>
      </c>
    </row>
    <row r="3" spans="1:13" x14ac:dyDescent="0.4">
      <c r="A3" t="s">
        <v>580</v>
      </c>
      <c r="B3" t="s">
        <v>581</v>
      </c>
      <c r="C3" t="s">
        <v>582</v>
      </c>
      <c r="H3" t="s">
        <v>583</v>
      </c>
      <c r="I3" t="s">
        <v>584</v>
      </c>
      <c r="J3" t="s">
        <v>585</v>
      </c>
      <c r="K3" t="s">
        <v>586</v>
      </c>
      <c r="L3" t="s">
        <v>587</v>
      </c>
      <c r="M3" t="s">
        <v>588</v>
      </c>
    </row>
    <row r="4" spans="1:13" x14ac:dyDescent="0.4">
      <c r="H4" t="s">
        <v>589</v>
      </c>
      <c r="I4" t="s">
        <v>590</v>
      </c>
      <c r="J4" t="s">
        <v>591</v>
      </c>
      <c r="K4" t="s">
        <v>592</v>
      </c>
      <c r="L4" t="s">
        <v>593</v>
      </c>
    </row>
    <row r="5" spans="1:13" x14ac:dyDescent="0.4">
      <c r="H5" t="s">
        <v>594</v>
      </c>
      <c r="I5" t="s">
        <v>595</v>
      </c>
      <c r="J5" t="s">
        <v>596</v>
      </c>
      <c r="K5" t="s">
        <v>597</v>
      </c>
      <c r="L5" t="s">
        <v>598</v>
      </c>
    </row>
    <row r="6" spans="1:13" x14ac:dyDescent="0.4">
      <c r="H6" t="s">
        <v>599</v>
      </c>
      <c r="I6" t="s">
        <v>600</v>
      </c>
      <c r="J6" t="s">
        <v>601</v>
      </c>
      <c r="K6" t="s">
        <v>602</v>
      </c>
      <c r="L6" t="s">
        <v>603</v>
      </c>
    </row>
    <row r="7" spans="1:13" x14ac:dyDescent="0.4">
      <c r="H7" t="s">
        <v>604</v>
      </c>
      <c r="I7" t="s">
        <v>605</v>
      </c>
      <c r="J7" t="s">
        <v>606</v>
      </c>
      <c r="K7" t="s">
        <v>607</v>
      </c>
      <c r="L7" t="s">
        <v>607</v>
      </c>
    </row>
    <row r="8" spans="1:13" x14ac:dyDescent="0.4">
      <c r="H8" t="s">
        <v>597</v>
      </c>
      <c r="I8" t="s">
        <v>608</v>
      </c>
      <c r="J8" t="s">
        <v>598</v>
      </c>
      <c r="K8" t="s">
        <v>609</v>
      </c>
      <c r="L8" t="s">
        <v>610</v>
      </c>
    </row>
    <row r="9" spans="1:13" x14ac:dyDescent="0.4">
      <c r="H9" t="s">
        <v>611</v>
      </c>
      <c r="I9" t="s">
        <v>612</v>
      </c>
      <c r="J9" t="s">
        <v>613</v>
      </c>
      <c r="K9" t="s">
        <v>614</v>
      </c>
      <c r="L9" t="s">
        <v>606</v>
      </c>
    </row>
    <row r="10" spans="1:13" x14ac:dyDescent="0.4">
      <c r="H10" t="s">
        <v>606</v>
      </c>
      <c r="I10" t="s">
        <v>615</v>
      </c>
      <c r="J10" t="s">
        <v>616</v>
      </c>
      <c r="K10" t="s">
        <v>617</v>
      </c>
      <c r="L10" t="s">
        <v>589</v>
      </c>
    </row>
    <row r="11" spans="1:13" x14ac:dyDescent="0.4">
      <c r="H11" t="s">
        <v>618</v>
      </c>
      <c r="I11" t="s">
        <v>619</v>
      </c>
      <c r="J11" t="s">
        <v>620</v>
      </c>
      <c r="K11" t="s">
        <v>621</v>
      </c>
      <c r="L11" t="s">
        <v>622</v>
      </c>
    </row>
    <row r="12" spans="1:13" x14ac:dyDescent="0.4">
      <c r="H12" t="s">
        <v>598</v>
      </c>
      <c r="I12" t="s">
        <v>623</v>
      </c>
      <c r="J12" t="s">
        <v>624</v>
      </c>
      <c r="K12" t="s">
        <v>625</v>
      </c>
      <c r="L12" t="s">
        <v>626</v>
      </c>
    </row>
    <row r="13" spans="1:13" x14ac:dyDescent="0.4">
      <c r="H13" t="s">
        <v>598</v>
      </c>
      <c r="I13" t="s">
        <v>627</v>
      </c>
      <c r="J13" t="s">
        <v>628</v>
      </c>
      <c r="K13" t="s">
        <v>629</v>
      </c>
      <c r="L13" t="s">
        <v>630</v>
      </c>
    </row>
    <row r="14" spans="1:13" x14ac:dyDescent="0.4">
      <c r="A14" t="s">
        <v>631</v>
      </c>
      <c r="B14" t="s">
        <v>632</v>
      </c>
      <c r="C14" t="s">
        <v>633</v>
      </c>
      <c r="H14" t="s">
        <v>634</v>
      </c>
      <c r="I14" t="s">
        <v>635</v>
      </c>
      <c r="J14" t="s">
        <v>604</v>
      </c>
      <c r="K14" t="s">
        <v>636</v>
      </c>
      <c r="L14" t="s">
        <v>637</v>
      </c>
      <c r="M14" t="s">
        <v>638</v>
      </c>
    </row>
    <row r="15" spans="1:13" x14ac:dyDescent="0.4">
      <c r="H15" t="s">
        <v>639</v>
      </c>
      <c r="I15" t="s">
        <v>640</v>
      </c>
      <c r="J15" t="s">
        <v>608</v>
      </c>
      <c r="K15" t="s">
        <v>641</v>
      </c>
      <c r="L15" t="s">
        <v>642</v>
      </c>
    </row>
    <row r="16" spans="1:13" x14ac:dyDescent="0.4">
      <c r="H16" t="s">
        <v>643</v>
      </c>
      <c r="I16" t="s">
        <v>644</v>
      </c>
      <c r="J16" t="s">
        <v>597</v>
      </c>
      <c r="K16" t="s">
        <v>645</v>
      </c>
      <c r="L16" t="s">
        <v>598</v>
      </c>
    </row>
    <row r="17" spans="8:12" x14ac:dyDescent="0.4">
      <c r="H17" t="s">
        <v>601</v>
      </c>
      <c r="I17" t="s">
        <v>646</v>
      </c>
      <c r="J17" t="s">
        <v>647</v>
      </c>
      <c r="K17" t="s">
        <v>648</v>
      </c>
      <c r="L17" t="s">
        <v>649</v>
      </c>
    </row>
    <row r="18" spans="8:12" x14ac:dyDescent="0.4">
      <c r="H18" t="s">
        <v>650</v>
      </c>
      <c r="I18" t="s">
        <v>651</v>
      </c>
      <c r="J18" t="s">
        <v>652</v>
      </c>
      <c r="K18" t="s">
        <v>653</v>
      </c>
      <c r="L18" t="s">
        <v>654</v>
      </c>
    </row>
    <row r="19" spans="8:12" x14ac:dyDescent="0.4">
      <c r="H19" t="s">
        <v>655</v>
      </c>
      <c r="I19" t="s">
        <v>656</v>
      </c>
      <c r="J19" t="s">
        <v>657</v>
      </c>
      <c r="K19" t="s">
        <v>658</v>
      </c>
      <c r="L19" t="s">
        <v>616</v>
      </c>
    </row>
    <row r="20" spans="8:12" x14ac:dyDescent="0.4">
      <c r="H20" t="s">
        <v>659</v>
      </c>
      <c r="I20" t="s">
        <v>660</v>
      </c>
      <c r="J20" t="s">
        <v>624</v>
      </c>
      <c r="K20" t="s">
        <v>661</v>
      </c>
      <c r="L20" t="s">
        <v>625</v>
      </c>
    </row>
    <row r="21" spans="8:12" x14ac:dyDescent="0.4">
      <c r="H21" t="s">
        <v>659</v>
      </c>
      <c r="I21" t="s">
        <v>662</v>
      </c>
      <c r="J21" t="s">
        <v>663</v>
      </c>
      <c r="K21" t="s">
        <v>664</v>
      </c>
      <c r="L21" t="s">
        <v>665</v>
      </c>
    </row>
    <row r="22" spans="8:12" x14ac:dyDescent="0.4">
      <c r="H22" t="s">
        <v>659</v>
      </c>
      <c r="I22" t="s">
        <v>666</v>
      </c>
      <c r="J22" t="s">
        <v>667</v>
      </c>
      <c r="K22" t="s">
        <v>668</v>
      </c>
      <c r="L22" t="s">
        <v>669</v>
      </c>
    </row>
    <row r="23" spans="8:12" x14ac:dyDescent="0.4">
      <c r="H23" t="s">
        <v>670</v>
      </c>
      <c r="I23" t="s">
        <v>671</v>
      </c>
      <c r="J23" t="s">
        <v>630</v>
      </c>
      <c r="K23" t="s">
        <v>672</v>
      </c>
      <c r="L23" t="s">
        <v>673</v>
      </c>
    </row>
    <row r="24" spans="8:12" x14ac:dyDescent="0.4">
      <c r="H24" t="s">
        <v>674</v>
      </c>
      <c r="I24" t="s">
        <v>675</v>
      </c>
      <c r="J24" t="s">
        <v>676</v>
      </c>
      <c r="K24" t="s">
        <v>677</v>
      </c>
      <c r="L24" t="s">
        <v>678</v>
      </c>
    </row>
    <row r="25" spans="8:12" x14ac:dyDescent="0.4">
      <c r="H25" t="s">
        <v>679</v>
      </c>
      <c r="I25" t="s">
        <v>680</v>
      </c>
      <c r="J25" t="s">
        <v>681</v>
      </c>
      <c r="K25" t="s">
        <v>629</v>
      </c>
      <c r="L25" t="s">
        <v>682</v>
      </c>
    </row>
    <row r="26" spans="8:12" x14ac:dyDescent="0.4">
      <c r="H26" t="s">
        <v>652</v>
      </c>
      <c r="I26" t="s">
        <v>683</v>
      </c>
      <c r="J26" t="s">
        <v>684</v>
      </c>
      <c r="K26" t="s">
        <v>685</v>
      </c>
      <c r="L26" t="s">
        <v>686</v>
      </c>
    </row>
    <row r="27" spans="8:12" x14ac:dyDescent="0.4">
      <c r="H27" t="s">
        <v>687</v>
      </c>
      <c r="I27" t="s">
        <v>688</v>
      </c>
      <c r="J27" t="s">
        <v>630</v>
      </c>
      <c r="K27" t="s">
        <v>689</v>
      </c>
      <c r="L27" t="s">
        <v>690</v>
      </c>
    </row>
    <row r="28" spans="8:12" x14ac:dyDescent="0.4">
      <c r="H28" t="s">
        <v>691</v>
      </c>
      <c r="I28" t="s">
        <v>691</v>
      </c>
      <c r="J28" t="s">
        <v>691</v>
      </c>
      <c r="K28" t="s">
        <v>691</v>
      </c>
      <c r="L28" t="s">
        <v>691</v>
      </c>
    </row>
    <row r="29" spans="8:12" x14ac:dyDescent="0.4">
      <c r="H29" t="s">
        <v>692</v>
      </c>
      <c r="I29" t="s">
        <v>693</v>
      </c>
      <c r="J29" t="s">
        <v>694</v>
      </c>
      <c r="K29" t="s">
        <v>695</v>
      </c>
      <c r="L29" t="s">
        <v>696</v>
      </c>
    </row>
    <row r="30" spans="8:12" x14ac:dyDescent="0.4">
      <c r="H30" t="s">
        <v>697</v>
      </c>
      <c r="I30" t="s">
        <v>626</v>
      </c>
      <c r="J30" t="s">
        <v>626</v>
      </c>
      <c r="K30" t="s">
        <v>698</v>
      </c>
      <c r="L30" t="s">
        <v>698</v>
      </c>
    </row>
    <row r="31" spans="8:12" x14ac:dyDescent="0.4">
      <c r="H31" t="s">
        <v>699</v>
      </c>
      <c r="I31" t="s">
        <v>700</v>
      </c>
      <c r="J31" t="s">
        <v>701</v>
      </c>
      <c r="K31" t="s">
        <v>702</v>
      </c>
      <c r="L31" t="s">
        <v>695</v>
      </c>
    </row>
    <row r="32" spans="8:12" x14ac:dyDescent="0.4">
      <c r="H32" t="s">
        <v>687</v>
      </c>
      <c r="I32" t="s">
        <v>691</v>
      </c>
      <c r="J32" t="s">
        <v>703</v>
      </c>
      <c r="K32" t="s">
        <v>704</v>
      </c>
      <c r="L32" t="s">
        <v>705</v>
      </c>
    </row>
    <row r="33" spans="1:13" x14ac:dyDescent="0.4">
      <c r="A33" t="s">
        <v>706</v>
      </c>
      <c r="B33" t="s">
        <v>707</v>
      </c>
      <c r="C33" t="s">
        <v>708</v>
      </c>
      <c r="H33" t="s">
        <v>591</v>
      </c>
      <c r="I33" t="s">
        <v>709</v>
      </c>
      <c r="J33" t="s">
        <v>679</v>
      </c>
      <c r="K33" t="s">
        <v>710</v>
      </c>
      <c r="L33" t="s">
        <v>665</v>
      </c>
      <c r="M33" t="s">
        <v>711</v>
      </c>
    </row>
    <row r="34" spans="1:13" x14ac:dyDescent="0.4">
      <c r="H34" t="s">
        <v>712</v>
      </c>
      <c r="I34" t="s">
        <v>713</v>
      </c>
      <c r="J34" t="s">
        <v>714</v>
      </c>
      <c r="K34" t="s">
        <v>698</v>
      </c>
      <c r="L34" t="s">
        <v>715</v>
      </c>
    </row>
    <row r="35" spans="1:13" x14ac:dyDescent="0.4">
      <c r="H35" t="s">
        <v>716</v>
      </c>
      <c r="I35" t="s">
        <v>717</v>
      </c>
      <c r="J35" t="s">
        <v>701</v>
      </c>
      <c r="K35" t="s">
        <v>718</v>
      </c>
      <c r="L35" t="s">
        <v>719</v>
      </c>
    </row>
    <row r="36" spans="1:13" x14ac:dyDescent="0.4">
      <c r="H36" t="s">
        <v>610</v>
      </c>
      <c r="I36" t="s">
        <v>720</v>
      </c>
      <c r="J36" t="s">
        <v>717</v>
      </c>
      <c r="K36" t="s">
        <v>721</v>
      </c>
      <c r="L36" t="s">
        <v>722</v>
      </c>
    </row>
    <row r="37" spans="1:13" x14ac:dyDescent="0.4">
      <c r="H37" t="s">
        <v>649</v>
      </c>
      <c r="I37" t="s">
        <v>723</v>
      </c>
      <c r="J37" t="s">
        <v>701</v>
      </c>
      <c r="K37" t="s">
        <v>724</v>
      </c>
      <c r="L37" t="s">
        <v>725</v>
      </c>
    </row>
  </sheetData>
  <phoneticPr fontId="1"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
  <sheetViews>
    <sheetView workbookViewId="0"/>
  </sheetViews>
  <sheetFormatPr defaultRowHeight="17.399999999999999" x14ac:dyDescent="0.4"/>
  <sheetData>
    <row r="1" spans="1:13" x14ac:dyDescent="0.4">
      <c r="A1" t="s">
        <v>574</v>
      </c>
      <c r="B1" t="s">
        <v>2</v>
      </c>
      <c r="C1" t="s">
        <v>575</v>
      </c>
      <c r="E1" t="s">
        <v>134</v>
      </c>
      <c r="F1" t="s">
        <v>135</v>
      </c>
      <c r="G1" t="s">
        <v>136</v>
      </c>
      <c r="H1" t="s">
        <v>726</v>
      </c>
      <c r="M1" t="s">
        <v>577</v>
      </c>
    </row>
    <row r="2" spans="1:13" x14ac:dyDescent="0.4">
      <c r="C2" t="s">
        <v>578</v>
      </c>
      <c r="D2" t="s">
        <v>579</v>
      </c>
      <c r="H2" t="s">
        <v>139</v>
      </c>
      <c r="I2" t="s">
        <v>140</v>
      </c>
      <c r="J2" t="s">
        <v>141</v>
      </c>
      <c r="K2" t="s">
        <v>142</v>
      </c>
      <c r="L2" t="s">
        <v>143</v>
      </c>
    </row>
    <row r="3" spans="1:13" x14ac:dyDescent="0.4">
      <c r="A3" t="s">
        <v>580</v>
      </c>
      <c r="B3" t="s">
        <v>441</v>
      </c>
      <c r="C3" t="s">
        <v>727</v>
      </c>
      <c r="H3" t="s">
        <v>728</v>
      </c>
      <c r="I3" t="s">
        <v>728</v>
      </c>
      <c r="J3" t="s">
        <v>728</v>
      </c>
      <c r="K3" t="s">
        <v>728</v>
      </c>
      <c r="L3" t="s">
        <v>728</v>
      </c>
      <c r="M3" t="s">
        <v>445</v>
      </c>
    </row>
    <row r="4" spans="1:13" x14ac:dyDescent="0.4">
      <c r="H4" t="s">
        <v>490</v>
      </c>
      <c r="I4" t="s">
        <v>490</v>
      </c>
      <c r="J4" t="s">
        <v>490</v>
      </c>
      <c r="K4" t="s">
        <v>490</v>
      </c>
      <c r="L4" t="s">
        <v>490</v>
      </c>
    </row>
  </sheetData>
  <phoneticPr fontId="1"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C37"/>
  <sheetViews>
    <sheetView tabSelected="1" zoomScale="55" zoomScaleNormal="55" workbookViewId="0">
      <selection activeCell="P12" sqref="P12"/>
    </sheetView>
  </sheetViews>
  <sheetFormatPr defaultRowHeight="17.399999999999999" x14ac:dyDescent="0.4"/>
  <cols>
    <col min="1" max="1" width="15.3984375" bestFit="1" customWidth="1"/>
    <col min="2" max="2" width="10.3984375" bestFit="1" customWidth="1"/>
    <col min="3" max="3" width="6.796875" bestFit="1" customWidth="1"/>
    <col min="4" max="4" width="12.3984375" bestFit="1" customWidth="1"/>
    <col min="5" max="5" width="18.296875" bestFit="1" customWidth="1"/>
    <col min="6" max="6" width="8.59765625" bestFit="1" customWidth="1"/>
    <col min="7" max="7" width="6.796875" bestFit="1" customWidth="1"/>
    <col min="8" max="8" width="8.59765625" bestFit="1" customWidth="1"/>
    <col min="9" max="10" width="12.796875" bestFit="1" customWidth="1"/>
    <col min="11" max="11" width="5.3984375" bestFit="1" customWidth="1"/>
    <col min="12" max="13" width="18.09765625" bestFit="1" customWidth="1"/>
    <col min="14" max="15" width="10.19921875" bestFit="1" customWidth="1"/>
    <col min="16" max="17" width="11.296875" bestFit="1" customWidth="1"/>
    <col min="18" max="21" width="10.19921875" bestFit="1" customWidth="1"/>
    <col min="22" max="23" width="11.296875" bestFit="1" customWidth="1"/>
    <col min="24" max="25" width="10.19921875" bestFit="1" customWidth="1"/>
    <col min="26" max="27" width="6" bestFit="1" customWidth="1"/>
    <col min="28" max="28" width="10.3984375" bestFit="1" customWidth="1"/>
    <col min="29" max="29" width="32.296875" bestFit="1" customWidth="1"/>
    <col min="30" max="30" width="16.296875" bestFit="1" customWidth="1"/>
    <col min="31" max="33" width="5" bestFit="1" customWidth="1"/>
    <col min="34" max="35" width="4.19921875" bestFit="1" customWidth="1"/>
    <col min="36" max="36" width="6.796875" bestFit="1" customWidth="1"/>
    <col min="37" max="37" width="9" bestFit="1" customWidth="1"/>
    <col min="38" max="38" width="8.59765625" bestFit="1" customWidth="1"/>
    <col min="39" max="39" width="10.8984375" bestFit="1" customWidth="1"/>
    <col min="40" max="40" width="10.296875" bestFit="1" customWidth="1"/>
    <col min="41" max="41" width="10.3984375" bestFit="1" customWidth="1"/>
    <col min="42" max="42" width="12.796875" bestFit="1" customWidth="1"/>
    <col min="43" max="44" width="13.3984375" bestFit="1" customWidth="1"/>
    <col min="45" max="45" width="12.3984375" bestFit="1" customWidth="1"/>
    <col min="46" max="47" width="9" bestFit="1" customWidth="1"/>
    <col min="48" max="48" width="8.59765625" bestFit="1" customWidth="1"/>
    <col min="49" max="49" width="10.8984375" bestFit="1" customWidth="1"/>
    <col min="50" max="50" width="10.296875" bestFit="1" customWidth="1"/>
    <col min="51" max="51" width="10.8984375" bestFit="1" customWidth="1"/>
    <col min="52" max="52" width="10.296875" bestFit="1" customWidth="1"/>
    <col min="53" max="54" width="9" bestFit="1" customWidth="1"/>
    <col min="55" max="55" width="10.8984375" bestFit="1" customWidth="1"/>
    <col min="56" max="56" width="10.296875" bestFit="1" customWidth="1"/>
    <col min="57" max="59" width="10.3984375" bestFit="1" customWidth="1"/>
    <col min="60" max="62" width="13.5" bestFit="1" customWidth="1"/>
    <col min="63" max="63" width="4.3984375" bestFit="1" customWidth="1"/>
    <col min="64" max="80" width="4.19921875" bestFit="1" customWidth="1"/>
    <col min="81" max="89" width="7" bestFit="1" customWidth="1"/>
    <col min="90" max="90" width="6.796875" bestFit="1" customWidth="1"/>
    <col min="91" max="91" width="8.59765625" bestFit="1" customWidth="1"/>
    <col min="92" max="92" width="10.3984375" bestFit="1" customWidth="1"/>
    <col min="93" max="95" width="8.59765625" bestFit="1" customWidth="1"/>
    <col min="96" max="96" width="7.796875" bestFit="1" customWidth="1"/>
    <col min="97" max="97" width="9" bestFit="1" customWidth="1"/>
    <col min="98" max="98" width="4.8984375" bestFit="1" customWidth="1"/>
    <col min="99" max="99" width="9" bestFit="1" customWidth="1"/>
    <col min="100" max="100" width="8.3984375" bestFit="1" customWidth="1"/>
    <col min="101" max="101" width="5" bestFit="1" customWidth="1"/>
    <col min="102" max="102" width="9" bestFit="1" customWidth="1"/>
    <col min="103" max="103" width="7.796875" bestFit="1" customWidth="1"/>
    <col min="104" max="105" width="11.5" bestFit="1" customWidth="1"/>
    <col min="106" max="106" width="12.3984375" bestFit="1" customWidth="1"/>
    <col min="107" max="107" width="8.59765625" bestFit="1" customWidth="1"/>
  </cols>
  <sheetData>
    <row r="1" spans="1:107" s="3" customFormat="1" ht="18" customHeight="1" x14ac:dyDescent="0.4">
      <c r="A1" s="1" t="s">
        <v>733</v>
      </c>
      <c r="B1" s="1" t="s">
        <v>734</v>
      </c>
      <c r="C1" s="1" t="s">
        <v>735</v>
      </c>
      <c r="D1" s="1" t="s">
        <v>736</v>
      </c>
      <c r="E1" s="1" t="s">
        <v>737</v>
      </c>
      <c r="F1" s="1" t="s">
        <v>575</v>
      </c>
      <c r="G1" s="1" t="s">
        <v>738</v>
      </c>
      <c r="H1" s="1" t="s">
        <v>739</v>
      </c>
      <c r="I1" s="1" t="s">
        <v>740</v>
      </c>
      <c r="J1" s="1" t="s">
        <v>741</v>
      </c>
      <c r="K1" s="1" t="s">
        <v>742</v>
      </c>
      <c r="L1" s="1" t="s">
        <v>743</v>
      </c>
      <c r="M1" s="1" t="s">
        <v>744</v>
      </c>
      <c r="N1" s="1" t="s">
        <v>745</v>
      </c>
      <c r="O1" s="1" t="s">
        <v>746</v>
      </c>
      <c r="P1" s="1" t="s">
        <v>747</v>
      </c>
      <c r="Q1" s="1" t="s">
        <v>748</v>
      </c>
      <c r="R1" s="1" t="s">
        <v>749</v>
      </c>
      <c r="S1" s="1" t="s">
        <v>750</v>
      </c>
      <c r="T1" s="1" t="s">
        <v>751</v>
      </c>
      <c r="U1" s="1" t="s">
        <v>752</v>
      </c>
      <c r="V1" s="1" t="s">
        <v>753</v>
      </c>
      <c r="W1" s="1" t="s">
        <v>754</v>
      </c>
      <c r="X1" s="1" t="s">
        <v>755</v>
      </c>
      <c r="Y1" s="1" t="s">
        <v>756</v>
      </c>
      <c r="Z1" s="1" t="s">
        <v>757</v>
      </c>
      <c r="AA1" s="1" t="s">
        <v>758</v>
      </c>
      <c r="AB1" s="1" t="s">
        <v>759</v>
      </c>
      <c r="AC1" s="1" t="s">
        <v>760</v>
      </c>
      <c r="AD1" s="1" t="s">
        <v>761</v>
      </c>
      <c r="AE1" s="1" t="s">
        <v>541</v>
      </c>
      <c r="AF1" s="1" t="s">
        <v>542</v>
      </c>
      <c r="AG1" s="1" t="s">
        <v>543</v>
      </c>
      <c r="AH1" s="1" t="s">
        <v>762</v>
      </c>
      <c r="AI1" s="1" t="s">
        <v>763</v>
      </c>
      <c r="AJ1" s="1" t="s">
        <v>764</v>
      </c>
      <c r="AK1" s="1" t="s">
        <v>765</v>
      </c>
      <c r="AL1" s="1" t="s">
        <v>766</v>
      </c>
      <c r="AM1" s="1" t="s">
        <v>767</v>
      </c>
      <c r="AN1" s="1" t="s">
        <v>768</v>
      </c>
      <c r="AO1" s="1" t="s">
        <v>769</v>
      </c>
      <c r="AP1" s="1" t="s">
        <v>770</v>
      </c>
      <c r="AQ1" s="1" t="s">
        <v>771</v>
      </c>
      <c r="AR1" s="1" t="s">
        <v>772</v>
      </c>
      <c r="AS1" s="1" t="s">
        <v>773</v>
      </c>
      <c r="AT1" s="1" t="s">
        <v>774</v>
      </c>
      <c r="AU1" s="1" t="s">
        <v>775</v>
      </c>
      <c r="AV1" s="1" t="s">
        <v>776</v>
      </c>
      <c r="AW1" s="1" t="s">
        <v>777</v>
      </c>
      <c r="AX1" s="1" t="s">
        <v>778</v>
      </c>
      <c r="AY1" s="1" t="s">
        <v>779</v>
      </c>
      <c r="AZ1" s="1" t="s">
        <v>780</v>
      </c>
      <c r="BA1" s="1" t="s">
        <v>781</v>
      </c>
      <c r="BB1" s="1" t="s">
        <v>782</v>
      </c>
      <c r="BC1" s="1" t="s">
        <v>783</v>
      </c>
      <c r="BD1" s="1" t="s">
        <v>784</v>
      </c>
      <c r="BE1" s="1" t="s">
        <v>785</v>
      </c>
      <c r="BF1" s="1" t="s">
        <v>786</v>
      </c>
      <c r="BG1" s="1" t="s">
        <v>787</v>
      </c>
      <c r="BH1" s="1" t="s">
        <v>788</v>
      </c>
      <c r="BI1" s="1" t="s">
        <v>789</v>
      </c>
      <c r="BJ1" s="1" t="s">
        <v>790</v>
      </c>
      <c r="BK1" s="1" t="s">
        <v>791</v>
      </c>
      <c r="BL1" s="1" t="s">
        <v>792</v>
      </c>
      <c r="BM1" s="1" t="s">
        <v>793</v>
      </c>
      <c r="BN1" s="1" t="s">
        <v>794</v>
      </c>
      <c r="BO1" s="1" t="s">
        <v>795</v>
      </c>
      <c r="BP1" s="1" t="s">
        <v>796</v>
      </c>
      <c r="BQ1" s="1" t="s">
        <v>797</v>
      </c>
      <c r="BR1" s="1" t="s">
        <v>798</v>
      </c>
      <c r="BS1" s="1" t="s">
        <v>799</v>
      </c>
      <c r="BT1" s="1" t="s">
        <v>800</v>
      </c>
      <c r="BU1" s="1" t="s">
        <v>801</v>
      </c>
      <c r="BV1" s="1" t="s">
        <v>802</v>
      </c>
      <c r="BW1" s="1" t="s">
        <v>803</v>
      </c>
      <c r="BX1" s="1" t="s">
        <v>804</v>
      </c>
      <c r="BY1" s="1" t="s">
        <v>805</v>
      </c>
      <c r="BZ1" s="1" t="s">
        <v>806</v>
      </c>
      <c r="CA1" s="1" t="s">
        <v>807</v>
      </c>
      <c r="CB1" s="1" t="s">
        <v>808</v>
      </c>
      <c r="CC1" s="1" t="s">
        <v>809</v>
      </c>
      <c r="CD1" s="1" t="s">
        <v>810</v>
      </c>
      <c r="CE1" s="1" t="s">
        <v>811</v>
      </c>
      <c r="CF1" s="1" t="s">
        <v>812</v>
      </c>
      <c r="CG1" s="1" t="s">
        <v>813</v>
      </c>
      <c r="CH1" s="1" t="s">
        <v>814</v>
      </c>
      <c r="CI1" s="1" t="s">
        <v>815</v>
      </c>
      <c r="CJ1" s="1" t="s">
        <v>816</v>
      </c>
      <c r="CK1" s="1" t="s">
        <v>817</v>
      </c>
      <c r="CL1" s="1" t="s">
        <v>818</v>
      </c>
      <c r="CM1" s="1" t="s">
        <v>819</v>
      </c>
      <c r="CN1" s="1" t="s">
        <v>820</v>
      </c>
      <c r="CO1" s="1" t="s">
        <v>821</v>
      </c>
      <c r="CP1" s="1" t="s">
        <v>822</v>
      </c>
      <c r="CQ1" s="1" t="s">
        <v>823</v>
      </c>
      <c r="CR1" s="1" t="s">
        <v>824</v>
      </c>
      <c r="CS1" s="1" t="s">
        <v>825</v>
      </c>
      <c r="CT1" s="1" t="s">
        <v>826</v>
      </c>
      <c r="CU1" s="1" t="s">
        <v>827</v>
      </c>
      <c r="CV1" s="1" t="s">
        <v>828</v>
      </c>
      <c r="CW1" s="1" t="s">
        <v>829</v>
      </c>
      <c r="CX1" s="1" t="s">
        <v>830</v>
      </c>
      <c r="CY1" s="1" t="s">
        <v>831</v>
      </c>
      <c r="CZ1" s="1" t="s">
        <v>832</v>
      </c>
      <c r="DA1" s="1" t="s">
        <v>833</v>
      </c>
      <c r="DB1" s="1" t="s">
        <v>834</v>
      </c>
      <c r="DC1" s="2" t="s">
        <v>835</v>
      </c>
    </row>
    <row r="2" spans="1:107" x14ac:dyDescent="0.4">
      <c r="A2" t="s">
        <v>838</v>
      </c>
      <c r="B2" t="s">
        <v>837</v>
      </c>
      <c r="C2" t="s">
        <v>730</v>
      </c>
      <c r="D2" t="s">
        <v>836</v>
      </c>
      <c r="E2" t="s">
        <v>4</v>
      </c>
      <c r="F2">
        <v>14</v>
      </c>
      <c r="G2">
        <v>6.9</v>
      </c>
      <c r="H2">
        <v>35</v>
      </c>
      <c r="I2" t="s">
        <v>585</v>
      </c>
      <c r="J2" t="s">
        <v>586</v>
      </c>
      <c r="K2">
        <v>1000</v>
      </c>
      <c r="AB2" t="s">
        <v>839</v>
      </c>
      <c r="AC2" t="s">
        <v>840</v>
      </c>
      <c r="AE2">
        <v>2</v>
      </c>
      <c r="AF2">
        <v>3</v>
      </c>
      <c r="AG2">
        <v>2</v>
      </c>
      <c r="AI2">
        <v>3</v>
      </c>
      <c r="BK2">
        <v>100</v>
      </c>
      <c r="BL2">
        <v>98</v>
      </c>
      <c r="BM2">
        <v>96</v>
      </c>
      <c r="BN2">
        <v>94</v>
      </c>
      <c r="BO2">
        <v>92</v>
      </c>
      <c r="BP2">
        <v>90</v>
      </c>
      <c r="BQ2">
        <v>88</v>
      </c>
      <c r="BR2">
        <v>86</v>
      </c>
      <c r="BS2">
        <v>84</v>
      </c>
    </row>
    <row r="3" spans="1:107" x14ac:dyDescent="0.4">
      <c r="A3" t="str">
        <f t="shared" ref="A3:A12" si="0">A2</f>
        <v>2024학년도 정시</v>
      </c>
      <c r="B3" t="str">
        <f t="shared" ref="B3:B12" si="1">B2</f>
        <v>건양대학교</v>
      </c>
      <c r="C3" t="str">
        <f t="shared" ref="C3:C12" si="2">C2</f>
        <v>가군</v>
      </c>
      <c r="D3" t="s">
        <v>836</v>
      </c>
      <c r="E3" t="s">
        <v>8</v>
      </c>
      <c r="F3">
        <v>7</v>
      </c>
      <c r="G3">
        <v>4.7</v>
      </c>
      <c r="H3">
        <v>6</v>
      </c>
      <c r="I3" t="s">
        <v>591</v>
      </c>
      <c r="J3" t="s">
        <v>592</v>
      </c>
      <c r="K3">
        <v>1000</v>
      </c>
      <c r="AC3" t="s">
        <v>840</v>
      </c>
      <c r="AP3">
        <v>1</v>
      </c>
      <c r="AQ3">
        <v>1</v>
      </c>
      <c r="AR3">
        <v>1</v>
      </c>
      <c r="BK3">
        <v>100</v>
      </c>
      <c r="BL3">
        <v>98</v>
      </c>
      <c r="BM3">
        <v>96</v>
      </c>
      <c r="BN3">
        <v>94</v>
      </c>
      <c r="BO3">
        <v>92</v>
      </c>
      <c r="BP3">
        <v>90</v>
      </c>
      <c r="BQ3">
        <v>88</v>
      </c>
      <c r="BR3">
        <v>86</v>
      </c>
      <c r="BS3">
        <v>84</v>
      </c>
    </row>
    <row r="4" spans="1:107" x14ac:dyDescent="0.4">
      <c r="A4" t="str">
        <f t="shared" si="0"/>
        <v>2024학년도 정시</v>
      </c>
      <c r="B4" t="str">
        <f t="shared" si="1"/>
        <v>건양대학교</v>
      </c>
      <c r="C4" t="str">
        <f t="shared" si="2"/>
        <v>가군</v>
      </c>
      <c r="D4" t="s">
        <v>836</v>
      </c>
      <c r="E4" t="s">
        <v>10</v>
      </c>
      <c r="F4">
        <v>6</v>
      </c>
      <c r="G4">
        <v>5</v>
      </c>
      <c r="H4">
        <v>3</v>
      </c>
      <c r="I4" t="s">
        <v>596</v>
      </c>
      <c r="J4" t="s">
        <v>597</v>
      </c>
      <c r="K4">
        <v>1000</v>
      </c>
      <c r="AC4" t="s">
        <v>840</v>
      </c>
      <c r="AP4">
        <v>1</v>
      </c>
      <c r="AQ4">
        <v>1</v>
      </c>
      <c r="AR4">
        <v>1</v>
      </c>
      <c r="BK4">
        <v>100</v>
      </c>
      <c r="BL4">
        <v>98</v>
      </c>
      <c r="BM4">
        <v>96</v>
      </c>
      <c r="BN4">
        <v>94</v>
      </c>
      <c r="BO4">
        <v>92</v>
      </c>
      <c r="BP4">
        <v>90</v>
      </c>
      <c r="BQ4">
        <v>88</v>
      </c>
      <c r="BR4">
        <v>86</v>
      </c>
      <c r="BS4">
        <v>84</v>
      </c>
    </row>
    <row r="5" spans="1:107" x14ac:dyDescent="0.4">
      <c r="A5" t="str">
        <f t="shared" si="0"/>
        <v>2024학년도 정시</v>
      </c>
      <c r="B5" t="str">
        <f t="shared" si="1"/>
        <v>건양대학교</v>
      </c>
      <c r="C5" t="str">
        <f t="shared" si="2"/>
        <v>가군</v>
      </c>
      <c r="D5" t="s">
        <v>836</v>
      </c>
      <c r="E5" t="s">
        <v>11</v>
      </c>
      <c r="F5">
        <v>7</v>
      </c>
      <c r="G5">
        <v>5.3</v>
      </c>
      <c r="H5">
        <v>13</v>
      </c>
      <c r="I5" t="s">
        <v>601</v>
      </c>
      <c r="J5" t="s">
        <v>602</v>
      </c>
      <c r="K5">
        <v>1000</v>
      </c>
      <c r="AC5" t="s">
        <v>840</v>
      </c>
      <c r="AP5">
        <v>1</v>
      </c>
      <c r="AQ5">
        <v>1</v>
      </c>
      <c r="AR5">
        <v>1</v>
      </c>
      <c r="BK5">
        <v>100</v>
      </c>
      <c r="BL5">
        <v>98</v>
      </c>
      <c r="BM5">
        <v>96</v>
      </c>
      <c r="BN5">
        <v>94</v>
      </c>
      <c r="BO5">
        <v>92</v>
      </c>
      <c r="BP5">
        <v>90</v>
      </c>
      <c r="BQ5">
        <v>88</v>
      </c>
      <c r="BR5">
        <v>86</v>
      </c>
      <c r="BS5">
        <v>84</v>
      </c>
    </row>
    <row r="6" spans="1:107" x14ac:dyDescent="0.4">
      <c r="A6" t="str">
        <f t="shared" si="0"/>
        <v>2024학년도 정시</v>
      </c>
      <c r="B6" t="str">
        <f t="shared" si="1"/>
        <v>건양대학교</v>
      </c>
      <c r="C6" t="str">
        <f t="shared" si="2"/>
        <v>가군</v>
      </c>
      <c r="D6" t="s">
        <v>836</v>
      </c>
      <c r="E6" t="s">
        <v>12</v>
      </c>
      <c r="F6">
        <v>7</v>
      </c>
      <c r="G6">
        <v>6.1</v>
      </c>
      <c r="H6">
        <v>6</v>
      </c>
      <c r="I6" t="s">
        <v>606</v>
      </c>
      <c r="J6" t="s">
        <v>607</v>
      </c>
      <c r="K6">
        <v>1000</v>
      </c>
      <c r="AC6" t="s">
        <v>840</v>
      </c>
      <c r="AP6">
        <v>1</v>
      </c>
      <c r="AQ6">
        <v>1</v>
      </c>
      <c r="AR6">
        <v>1</v>
      </c>
      <c r="BK6">
        <v>100</v>
      </c>
      <c r="BL6">
        <v>98</v>
      </c>
      <c r="BM6">
        <v>96</v>
      </c>
      <c r="BN6">
        <v>94</v>
      </c>
      <c r="BO6">
        <v>92</v>
      </c>
      <c r="BP6">
        <v>90</v>
      </c>
      <c r="BQ6">
        <v>88</v>
      </c>
      <c r="BR6">
        <v>86</v>
      </c>
      <c r="BS6">
        <v>84</v>
      </c>
    </row>
    <row r="7" spans="1:107" x14ac:dyDescent="0.4">
      <c r="A7" t="str">
        <f t="shared" si="0"/>
        <v>2024학년도 정시</v>
      </c>
      <c r="B7" t="str">
        <f t="shared" si="1"/>
        <v>건양대학교</v>
      </c>
      <c r="C7" t="str">
        <f t="shared" si="2"/>
        <v>가군</v>
      </c>
      <c r="D7" t="s">
        <v>836</v>
      </c>
      <c r="E7" t="s">
        <v>13</v>
      </c>
      <c r="F7">
        <v>8</v>
      </c>
      <c r="G7">
        <v>4.5999999999999996</v>
      </c>
      <c r="H7">
        <v>13</v>
      </c>
      <c r="I7" t="s">
        <v>598</v>
      </c>
      <c r="J7" t="s">
        <v>609</v>
      </c>
      <c r="K7">
        <v>1000</v>
      </c>
      <c r="AC7" t="s">
        <v>840</v>
      </c>
      <c r="AP7">
        <v>1</v>
      </c>
      <c r="AQ7">
        <v>1</v>
      </c>
      <c r="AR7">
        <v>1</v>
      </c>
      <c r="BK7">
        <v>100</v>
      </c>
      <c r="BL7">
        <v>98</v>
      </c>
      <c r="BM7">
        <v>96</v>
      </c>
      <c r="BN7">
        <v>94</v>
      </c>
      <c r="BO7">
        <v>92</v>
      </c>
      <c r="BP7">
        <v>90</v>
      </c>
      <c r="BQ7">
        <v>88</v>
      </c>
      <c r="BR7">
        <v>86</v>
      </c>
      <c r="BS7">
        <v>84</v>
      </c>
    </row>
    <row r="8" spans="1:107" x14ac:dyDescent="0.4">
      <c r="A8" t="str">
        <f t="shared" si="0"/>
        <v>2024학년도 정시</v>
      </c>
      <c r="B8" t="str">
        <f t="shared" si="1"/>
        <v>건양대학교</v>
      </c>
      <c r="C8" t="str">
        <f t="shared" si="2"/>
        <v>가군</v>
      </c>
      <c r="D8" t="s">
        <v>836</v>
      </c>
      <c r="E8" t="s">
        <v>14</v>
      </c>
      <c r="F8">
        <v>11</v>
      </c>
      <c r="G8">
        <v>7.1</v>
      </c>
      <c r="H8">
        <v>10</v>
      </c>
      <c r="I8" t="s">
        <v>613</v>
      </c>
      <c r="J8" t="s">
        <v>614</v>
      </c>
      <c r="K8">
        <v>1000</v>
      </c>
      <c r="AC8" t="s">
        <v>840</v>
      </c>
      <c r="AP8">
        <v>1</v>
      </c>
      <c r="AQ8">
        <v>1</v>
      </c>
      <c r="AR8">
        <v>1</v>
      </c>
      <c r="BK8">
        <v>100</v>
      </c>
      <c r="BL8">
        <v>98</v>
      </c>
      <c r="BM8">
        <v>96</v>
      </c>
      <c r="BN8">
        <v>94</v>
      </c>
      <c r="BO8">
        <v>92</v>
      </c>
      <c r="BP8">
        <v>90</v>
      </c>
      <c r="BQ8">
        <v>88</v>
      </c>
      <c r="BR8">
        <v>86</v>
      </c>
      <c r="BS8">
        <v>84</v>
      </c>
    </row>
    <row r="9" spans="1:107" x14ac:dyDescent="0.4">
      <c r="A9" t="str">
        <f t="shared" si="0"/>
        <v>2024학년도 정시</v>
      </c>
      <c r="B9" t="str">
        <f t="shared" si="1"/>
        <v>건양대학교</v>
      </c>
      <c r="C9" t="str">
        <f t="shared" si="2"/>
        <v>가군</v>
      </c>
      <c r="D9" t="s">
        <v>836</v>
      </c>
      <c r="E9" t="s">
        <v>15</v>
      </c>
      <c r="F9">
        <v>5</v>
      </c>
      <c r="G9">
        <v>7.2</v>
      </c>
      <c r="H9">
        <v>5</v>
      </c>
      <c r="I9" t="s">
        <v>616</v>
      </c>
      <c r="J9" t="s">
        <v>617</v>
      </c>
      <c r="K9">
        <v>1000</v>
      </c>
      <c r="AC9" t="s">
        <v>840</v>
      </c>
      <c r="AP9">
        <v>1</v>
      </c>
      <c r="AQ9">
        <v>1</v>
      </c>
      <c r="AR9">
        <v>1</v>
      </c>
      <c r="BK9">
        <v>100</v>
      </c>
      <c r="BL9">
        <v>98</v>
      </c>
      <c r="BM9">
        <v>96</v>
      </c>
      <c r="BN9">
        <v>94</v>
      </c>
      <c r="BO9">
        <v>92</v>
      </c>
      <c r="BP9">
        <v>90</v>
      </c>
      <c r="BQ9">
        <v>88</v>
      </c>
      <c r="BR9">
        <v>86</v>
      </c>
      <c r="BS9">
        <v>84</v>
      </c>
    </row>
    <row r="10" spans="1:107" x14ac:dyDescent="0.4">
      <c r="A10" t="str">
        <f t="shared" si="0"/>
        <v>2024학년도 정시</v>
      </c>
      <c r="B10" t="str">
        <f t="shared" si="1"/>
        <v>건양대학교</v>
      </c>
      <c r="C10" t="str">
        <f t="shared" si="2"/>
        <v>가군</v>
      </c>
      <c r="D10" t="s">
        <v>836</v>
      </c>
      <c r="E10" t="s">
        <v>35</v>
      </c>
      <c r="F10">
        <v>7</v>
      </c>
      <c r="G10">
        <v>5.3</v>
      </c>
      <c r="H10">
        <v>13</v>
      </c>
      <c r="I10" t="s">
        <v>620</v>
      </c>
      <c r="J10" t="s">
        <v>621</v>
      </c>
      <c r="K10">
        <v>1000</v>
      </c>
      <c r="AC10" t="s">
        <v>840</v>
      </c>
      <c r="AP10">
        <v>1</v>
      </c>
      <c r="AQ10">
        <v>1</v>
      </c>
      <c r="AR10">
        <v>1</v>
      </c>
      <c r="BK10">
        <v>100</v>
      </c>
      <c r="BL10">
        <v>98</v>
      </c>
      <c r="BM10">
        <v>96</v>
      </c>
      <c r="BN10">
        <v>94</v>
      </c>
      <c r="BO10">
        <v>92</v>
      </c>
      <c r="BP10">
        <v>90</v>
      </c>
      <c r="BQ10">
        <v>88</v>
      </c>
      <c r="BR10">
        <v>86</v>
      </c>
      <c r="BS10">
        <v>84</v>
      </c>
    </row>
    <row r="11" spans="1:107" x14ac:dyDescent="0.4">
      <c r="A11" t="str">
        <f t="shared" si="0"/>
        <v>2024학년도 정시</v>
      </c>
      <c r="B11" t="str">
        <f t="shared" si="1"/>
        <v>건양대학교</v>
      </c>
      <c r="C11" t="str">
        <f t="shared" si="2"/>
        <v>가군</v>
      </c>
      <c r="D11" t="s">
        <v>836</v>
      </c>
      <c r="E11" t="s">
        <v>37</v>
      </c>
      <c r="F11">
        <v>5</v>
      </c>
      <c r="G11">
        <v>1.8</v>
      </c>
      <c r="H11">
        <v>2</v>
      </c>
      <c r="I11" t="s">
        <v>624</v>
      </c>
      <c r="J11" t="s">
        <v>625</v>
      </c>
      <c r="K11">
        <v>1000</v>
      </c>
      <c r="AC11" t="s">
        <v>840</v>
      </c>
      <c r="AP11">
        <v>1</v>
      </c>
      <c r="AQ11">
        <v>1</v>
      </c>
      <c r="AR11">
        <v>1</v>
      </c>
      <c r="BK11">
        <v>100</v>
      </c>
      <c r="BL11">
        <v>98</v>
      </c>
      <c r="BM11">
        <v>96</v>
      </c>
      <c r="BN11">
        <v>94</v>
      </c>
      <c r="BO11">
        <v>92</v>
      </c>
      <c r="BP11">
        <v>90</v>
      </c>
      <c r="BQ11">
        <v>88</v>
      </c>
      <c r="BR11">
        <v>86</v>
      </c>
      <c r="BS11">
        <v>84</v>
      </c>
    </row>
    <row r="12" spans="1:107" x14ac:dyDescent="0.4">
      <c r="A12" t="str">
        <f t="shared" si="0"/>
        <v>2024학년도 정시</v>
      </c>
      <c r="B12" t="str">
        <f t="shared" si="1"/>
        <v>건양대학교</v>
      </c>
      <c r="C12" t="str">
        <f t="shared" si="2"/>
        <v>가군</v>
      </c>
      <c r="D12" t="s">
        <v>836</v>
      </c>
      <c r="E12" t="s">
        <v>50</v>
      </c>
      <c r="F12">
        <v>8</v>
      </c>
      <c r="G12">
        <v>5.3</v>
      </c>
      <c r="H12">
        <v>17</v>
      </c>
      <c r="I12" t="s">
        <v>628</v>
      </c>
      <c r="J12" t="s">
        <v>629</v>
      </c>
      <c r="K12">
        <v>1000</v>
      </c>
      <c r="AC12" t="s">
        <v>840</v>
      </c>
      <c r="AP12">
        <v>1</v>
      </c>
      <c r="AQ12">
        <v>1</v>
      </c>
      <c r="AR12">
        <v>1</v>
      </c>
      <c r="BK12">
        <v>100</v>
      </c>
      <c r="BL12">
        <v>98</v>
      </c>
      <c r="BM12">
        <v>96</v>
      </c>
      <c r="BN12">
        <v>94</v>
      </c>
      <c r="BO12">
        <v>92</v>
      </c>
      <c r="BP12">
        <v>90</v>
      </c>
      <c r="BQ12">
        <v>88</v>
      </c>
      <c r="BR12">
        <v>86</v>
      </c>
      <c r="BS12">
        <v>84</v>
      </c>
    </row>
    <row r="13" spans="1:107" x14ac:dyDescent="0.4">
      <c r="A13" t="str">
        <f t="shared" ref="A13:B13" si="3">A12</f>
        <v>2024학년도 정시</v>
      </c>
      <c r="B13" t="str">
        <f t="shared" si="3"/>
        <v>건양대학교</v>
      </c>
      <c r="C13" t="s">
        <v>731</v>
      </c>
      <c r="D13" t="s">
        <v>836</v>
      </c>
      <c r="E13" t="s">
        <v>6</v>
      </c>
      <c r="F13">
        <v>17</v>
      </c>
      <c r="G13">
        <v>4</v>
      </c>
      <c r="H13">
        <v>16</v>
      </c>
      <c r="I13" t="s">
        <v>604</v>
      </c>
      <c r="J13" t="s">
        <v>636</v>
      </c>
      <c r="K13">
        <v>1000</v>
      </c>
      <c r="AC13" t="s">
        <v>840</v>
      </c>
      <c r="AP13">
        <v>1</v>
      </c>
      <c r="AQ13">
        <v>1</v>
      </c>
      <c r="AR13">
        <v>1</v>
      </c>
      <c r="BK13">
        <v>100</v>
      </c>
      <c r="BL13">
        <v>98</v>
      </c>
      <c r="BM13">
        <v>96</v>
      </c>
      <c r="BN13">
        <v>94</v>
      </c>
      <c r="BO13">
        <v>92</v>
      </c>
      <c r="BP13">
        <v>90</v>
      </c>
      <c r="BQ13">
        <v>88</v>
      </c>
      <c r="BR13">
        <v>86</v>
      </c>
      <c r="BS13">
        <v>84</v>
      </c>
    </row>
    <row r="14" spans="1:107" x14ac:dyDescent="0.4">
      <c r="A14" t="str">
        <f t="shared" ref="A14:A31" si="4">A13</f>
        <v>2024학년도 정시</v>
      </c>
      <c r="B14" t="str">
        <f t="shared" ref="B14:B31" si="5">B13</f>
        <v>건양대학교</v>
      </c>
      <c r="C14" t="str">
        <f t="shared" ref="C14:C31" si="6">C13</f>
        <v>나군</v>
      </c>
      <c r="D14" t="s">
        <v>836</v>
      </c>
      <c r="E14" t="s">
        <v>9</v>
      </c>
      <c r="F14">
        <v>7</v>
      </c>
      <c r="G14">
        <v>4.3</v>
      </c>
      <c r="H14">
        <v>9</v>
      </c>
      <c r="I14" t="s">
        <v>608</v>
      </c>
      <c r="J14" t="s">
        <v>641</v>
      </c>
      <c r="K14">
        <v>1000</v>
      </c>
      <c r="AC14" t="s">
        <v>840</v>
      </c>
      <c r="AP14">
        <v>1</v>
      </c>
      <c r="AQ14">
        <v>1</v>
      </c>
      <c r="AR14">
        <v>1</v>
      </c>
      <c r="BK14">
        <v>100</v>
      </c>
      <c r="BL14">
        <v>98</v>
      </c>
      <c r="BM14">
        <v>96</v>
      </c>
      <c r="BN14">
        <v>94</v>
      </c>
      <c r="BO14">
        <v>92</v>
      </c>
      <c r="BP14">
        <v>90</v>
      </c>
      <c r="BQ14">
        <v>88</v>
      </c>
      <c r="BR14">
        <v>86</v>
      </c>
      <c r="BS14">
        <v>84</v>
      </c>
    </row>
    <row r="15" spans="1:107" x14ac:dyDescent="0.4">
      <c r="A15" t="str">
        <f t="shared" si="4"/>
        <v>2024학년도 정시</v>
      </c>
      <c r="B15" t="str">
        <f t="shared" si="5"/>
        <v>건양대학교</v>
      </c>
      <c r="C15" t="str">
        <f t="shared" si="6"/>
        <v>나군</v>
      </c>
      <c r="D15" t="s">
        <v>836</v>
      </c>
      <c r="E15" t="s">
        <v>17</v>
      </c>
      <c r="F15">
        <v>6</v>
      </c>
      <c r="G15">
        <v>6.5</v>
      </c>
      <c r="H15">
        <v>1</v>
      </c>
      <c r="I15" t="s">
        <v>597</v>
      </c>
      <c r="J15" t="s">
        <v>645</v>
      </c>
      <c r="K15">
        <v>1000</v>
      </c>
      <c r="AC15" t="s">
        <v>840</v>
      </c>
      <c r="AP15">
        <v>1</v>
      </c>
      <c r="AQ15">
        <v>1</v>
      </c>
      <c r="AR15">
        <v>1</v>
      </c>
      <c r="BK15">
        <v>100</v>
      </c>
      <c r="BL15">
        <v>98</v>
      </c>
      <c r="BM15">
        <v>96</v>
      </c>
      <c r="BN15">
        <v>94</v>
      </c>
      <c r="BO15">
        <v>92</v>
      </c>
      <c r="BP15">
        <v>90</v>
      </c>
      <c r="BQ15">
        <v>88</v>
      </c>
      <c r="BR15">
        <v>86</v>
      </c>
      <c r="BS15">
        <v>84</v>
      </c>
    </row>
    <row r="16" spans="1:107" x14ac:dyDescent="0.4">
      <c r="A16" t="str">
        <f t="shared" si="4"/>
        <v>2024학년도 정시</v>
      </c>
      <c r="B16" t="str">
        <f t="shared" si="5"/>
        <v>건양대학교</v>
      </c>
      <c r="C16" t="str">
        <f t="shared" si="6"/>
        <v>나군</v>
      </c>
      <c r="D16" t="s">
        <v>836</v>
      </c>
      <c r="E16" t="s">
        <v>18</v>
      </c>
      <c r="F16">
        <v>7</v>
      </c>
      <c r="G16">
        <v>5</v>
      </c>
      <c r="H16">
        <v>10</v>
      </c>
      <c r="I16" t="s">
        <v>647</v>
      </c>
      <c r="J16" t="s">
        <v>648</v>
      </c>
      <c r="K16">
        <v>1000</v>
      </c>
      <c r="AC16" t="s">
        <v>840</v>
      </c>
      <c r="AP16">
        <v>1</v>
      </c>
      <c r="AQ16">
        <v>1</v>
      </c>
      <c r="AR16">
        <v>1</v>
      </c>
      <c r="BK16">
        <v>100</v>
      </c>
      <c r="BL16">
        <v>98</v>
      </c>
      <c r="BM16">
        <v>96</v>
      </c>
      <c r="BN16">
        <v>94</v>
      </c>
      <c r="BO16">
        <v>92</v>
      </c>
      <c r="BP16">
        <v>90</v>
      </c>
      <c r="BQ16">
        <v>88</v>
      </c>
      <c r="BR16">
        <v>86</v>
      </c>
      <c r="BS16">
        <v>84</v>
      </c>
    </row>
    <row r="17" spans="1:71" x14ac:dyDescent="0.4">
      <c r="A17" t="str">
        <f t="shared" si="4"/>
        <v>2024학년도 정시</v>
      </c>
      <c r="B17" t="str">
        <f t="shared" si="5"/>
        <v>건양대학교</v>
      </c>
      <c r="C17" t="str">
        <f t="shared" si="6"/>
        <v>나군</v>
      </c>
      <c r="D17" t="s">
        <v>836</v>
      </c>
      <c r="E17" t="s">
        <v>19</v>
      </c>
      <c r="F17">
        <v>3</v>
      </c>
      <c r="G17">
        <v>4.3</v>
      </c>
      <c r="H17">
        <v>8</v>
      </c>
      <c r="I17" t="s">
        <v>652</v>
      </c>
      <c r="J17" t="s">
        <v>653</v>
      </c>
      <c r="K17">
        <v>1000</v>
      </c>
      <c r="AC17" t="s">
        <v>840</v>
      </c>
      <c r="AP17">
        <v>1</v>
      </c>
      <c r="AQ17">
        <v>1</v>
      </c>
      <c r="AR17">
        <v>1</v>
      </c>
      <c r="BK17">
        <v>100</v>
      </c>
      <c r="BL17">
        <v>98</v>
      </c>
      <c r="BM17">
        <v>96</v>
      </c>
      <c r="BN17">
        <v>94</v>
      </c>
      <c r="BO17">
        <v>92</v>
      </c>
      <c r="BP17">
        <v>90</v>
      </c>
      <c r="BQ17">
        <v>88</v>
      </c>
      <c r="BR17">
        <v>86</v>
      </c>
      <c r="BS17">
        <v>84</v>
      </c>
    </row>
    <row r="18" spans="1:71" x14ac:dyDescent="0.4">
      <c r="A18" t="str">
        <f t="shared" si="4"/>
        <v>2024학년도 정시</v>
      </c>
      <c r="B18" t="str">
        <f t="shared" si="5"/>
        <v>건양대학교</v>
      </c>
      <c r="C18" t="str">
        <f t="shared" si="6"/>
        <v>나군</v>
      </c>
      <c r="D18" t="s">
        <v>836</v>
      </c>
      <c r="E18" t="s">
        <v>20</v>
      </c>
      <c r="F18">
        <v>2</v>
      </c>
      <c r="G18">
        <v>7</v>
      </c>
      <c r="H18">
        <v>2</v>
      </c>
      <c r="I18" t="s">
        <v>657</v>
      </c>
      <c r="J18" t="s">
        <v>658</v>
      </c>
      <c r="K18">
        <v>1000</v>
      </c>
      <c r="AC18" t="s">
        <v>840</v>
      </c>
      <c r="AP18">
        <v>1</v>
      </c>
      <c r="AQ18">
        <v>1</v>
      </c>
      <c r="AR18">
        <v>1</v>
      </c>
      <c r="BK18">
        <v>100</v>
      </c>
      <c r="BL18">
        <v>98</v>
      </c>
      <c r="BM18">
        <v>96</v>
      </c>
      <c r="BN18">
        <v>94</v>
      </c>
      <c r="BO18">
        <v>92</v>
      </c>
      <c r="BP18">
        <v>90</v>
      </c>
      <c r="BQ18">
        <v>88</v>
      </c>
      <c r="BR18">
        <v>86</v>
      </c>
      <c r="BS18">
        <v>84</v>
      </c>
    </row>
    <row r="19" spans="1:71" x14ac:dyDescent="0.4">
      <c r="A19" t="str">
        <f t="shared" si="4"/>
        <v>2024학년도 정시</v>
      </c>
      <c r="B19" t="str">
        <f t="shared" si="5"/>
        <v>건양대학교</v>
      </c>
      <c r="C19" t="str">
        <f t="shared" si="6"/>
        <v>나군</v>
      </c>
      <c r="D19" t="s">
        <v>836</v>
      </c>
      <c r="E19" t="s">
        <v>21</v>
      </c>
      <c r="F19">
        <v>6</v>
      </c>
      <c r="G19">
        <v>3.3</v>
      </c>
      <c r="H19">
        <v>10</v>
      </c>
      <c r="I19" t="s">
        <v>624</v>
      </c>
      <c r="J19" t="s">
        <v>661</v>
      </c>
      <c r="K19">
        <v>1000</v>
      </c>
      <c r="AC19" t="s">
        <v>840</v>
      </c>
      <c r="AP19">
        <v>1</v>
      </c>
      <c r="AQ19">
        <v>1</v>
      </c>
      <c r="AR19">
        <v>1</v>
      </c>
      <c r="BK19">
        <v>100</v>
      </c>
      <c r="BL19">
        <v>98</v>
      </c>
      <c r="BM19">
        <v>96</v>
      </c>
      <c r="BN19">
        <v>94</v>
      </c>
      <c r="BO19">
        <v>92</v>
      </c>
      <c r="BP19">
        <v>90</v>
      </c>
      <c r="BQ19">
        <v>88</v>
      </c>
      <c r="BR19">
        <v>86</v>
      </c>
      <c r="BS19">
        <v>84</v>
      </c>
    </row>
    <row r="20" spans="1:71" x14ac:dyDescent="0.4">
      <c r="A20" t="str">
        <f t="shared" si="4"/>
        <v>2024학년도 정시</v>
      </c>
      <c r="B20" t="str">
        <f t="shared" si="5"/>
        <v>건양대학교</v>
      </c>
      <c r="C20" t="str">
        <f t="shared" si="6"/>
        <v>나군</v>
      </c>
      <c r="D20" t="s">
        <v>836</v>
      </c>
      <c r="E20" t="s">
        <v>23</v>
      </c>
      <c r="F20">
        <v>13</v>
      </c>
      <c r="G20">
        <v>4.5</v>
      </c>
      <c r="H20">
        <v>18</v>
      </c>
      <c r="I20" t="s">
        <v>663</v>
      </c>
      <c r="J20" t="s">
        <v>664</v>
      </c>
      <c r="K20">
        <v>1000</v>
      </c>
      <c r="AC20" t="s">
        <v>840</v>
      </c>
      <c r="AP20">
        <v>1</v>
      </c>
      <c r="AQ20">
        <v>1</v>
      </c>
      <c r="AR20">
        <v>1</v>
      </c>
      <c r="BK20">
        <v>100</v>
      </c>
      <c r="BL20">
        <v>98</v>
      </c>
      <c r="BM20">
        <v>96</v>
      </c>
      <c r="BN20">
        <v>94</v>
      </c>
      <c r="BO20">
        <v>92</v>
      </c>
      <c r="BP20">
        <v>90</v>
      </c>
      <c r="BQ20">
        <v>88</v>
      </c>
      <c r="BR20">
        <v>86</v>
      </c>
      <c r="BS20">
        <v>84</v>
      </c>
    </row>
    <row r="21" spans="1:71" x14ac:dyDescent="0.4">
      <c r="A21" t="str">
        <f t="shared" si="4"/>
        <v>2024학년도 정시</v>
      </c>
      <c r="B21" t="str">
        <f t="shared" si="5"/>
        <v>건양대학교</v>
      </c>
      <c r="C21" t="str">
        <f t="shared" si="6"/>
        <v>나군</v>
      </c>
      <c r="D21" t="s">
        <v>836</v>
      </c>
      <c r="E21" t="s">
        <v>25</v>
      </c>
      <c r="F21">
        <v>10</v>
      </c>
      <c r="G21">
        <v>2.7</v>
      </c>
      <c r="H21">
        <v>3</v>
      </c>
      <c r="I21" t="s">
        <v>667</v>
      </c>
      <c r="J21" t="s">
        <v>668</v>
      </c>
      <c r="K21">
        <v>1000</v>
      </c>
      <c r="AC21" t="s">
        <v>840</v>
      </c>
      <c r="AP21">
        <v>1</v>
      </c>
      <c r="AQ21">
        <v>1</v>
      </c>
      <c r="AR21">
        <v>1</v>
      </c>
      <c r="BK21">
        <v>100</v>
      </c>
      <c r="BL21">
        <v>98</v>
      </c>
      <c r="BM21">
        <v>96</v>
      </c>
      <c r="BN21">
        <v>94</v>
      </c>
      <c r="BO21">
        <v>92</v>
      </c>
      <c r="BP21">
        <v>90</v>
      </c>
      <c r="BQ21">
        <v>88</v>
      </c>
      <c r="BR21">
        <v>86</v>
      </c>
      <c r="BS21">
        <v>84</v>
      </c>
    </row>
    <row r="22" spans="1:71" x14ac:dyDescent="0.4">
      <c r="A22" t="str">
        <f t="shared" si="4"/>
        <v>2024학년도 정시</v>
      </c>
      <c r="B22" t="str">
        <f t="shared" si="5"/>
        <v>건양대학교</v>
      </c>
      <c r="C22" t="str">
        <f t="shared" si="6"/>
        <v>나군</v>
      </c>
      <c r="D22" t="s">
        <v>836</v>
      </c>
      <c r="E22" t="s">
        <v>26</v>
      </c>
      <c r="F22">
        <v>23</v>
      </c>
      <c r="G22">
        <v>2</v>
      </c>
      <c r="H22">
        <v>22</v>
      </c>
      <c r="I22" t="s">
        <v>630</v>
      </c>
      <c r="J22" t="s">
        <v>672</v>
      </c>
      <c r="K22">
        <v>1000</v>
      </c>
      <c r="AC22" t="s">
        <v>840</v>
      </c>
      <c r="AP22">
        <v>1</v>
      </c>
      <c r="AQ22">
        <v>1</v>
      </c>
      <c r="AR22">
        <v>1</v>
      </c>
      <c r="BK22">
        <v>100</v>
      </c>
      <c r="BL22">
        <v>98</v>
      </c>
      <c r="BM22">
        <v>96</v>
      </c>
      <c r="BN22">
        <v>94</v>
      </c>
      <c r="BO22">
        <v>92</v>
      </c>
      <c r="BP22">
        <v>90</v>
      </c>
      <c r="BQ22">
        <v>88</v>
      </c>
      <c r="BR22">
        <v>86</v>
      </c>
      <c r="BS22">
        <v>84</v>
      </c>
    </row>
    <row r="23" spans="1:71" x14ac:dyDescent="0.4">
      <c r="A23" t="str">
        <f t="shared" si="4"/>
        <v>2024학년도 정시</v>
      </c>
      <c r="B23" t="str">
        <f t="shared" si="5"/>
        <v>건양대학교</v>
      </c>
      <c r="C23" t="str">
        <f t="shared" si="6"/>
        <v>나군</v>
      </c>
      <c r="D23" t="s">
        <v>836</v>
      </c>
      <c r="E23" t="s">
        <v>29</v>
      </c>
      <c r="F23">
        <v>7</v>
      </c>
      <c r="G23">
        <v>3</v>
      </c>
      <c r="H23">
        <v>7</v>
      </c>
      <c r="I23" t="s">
        <v>676</v>
      </c>
      <c r="J23" t="s">
        <v>677</v>
      </c>
      <c r="K23">
        <v>1000</v>
      </c>
      <c r="AC23" t="s">
        <v>840</v>
      </c>
      <c r="AP23">
        <v>1</v>
      </c>
      <c r="AQ23">
        <v>1</v>
      </c>
      <c r="AR23">
        <v>1</v>
      </c>
      <c r="BK23">
        <v>100</v>
      </c>
      <c r="BL23">
        <v>98</v>
      </c>
      <c r="BM23">
        <v>96</v>
      </c>
      <c r="BN23">
        <v>94</v>
      </c>
      <c r="BO23">
        <v>92</v>
      </c>
      <c r="BP23">
        <v>90</v>
      </c>
      <c r="BQ23">
        <v>88</v>
      </c>
      <c r="BR23">
        <v>86</v>
      </c>
      <c r="BS23">
        <v>84</v>
      </c>
    </row>
    <row r="24" spans="1:71" x14ac:dyDescent="0.4">
      <c r="A24" t="str">
        <f t="shared" si="4"/>
        <v>2024학년도 정시</v>
      </c>
      <c r="B24" t="str">
        <f t="shared" si="5"/>
        <v>건양대학교</v>
      </c>
      <c r="C24" t="str">
        <f t="shared" si="6"/>
        <v>나군</v>
      </c>
      <c r="D24" t="s">
        <v>836</v>
      </c>
      <c r="E24" t="s">
        <v>30</v>
      </c>
      <c r="F24">
        <v>21</v>
      </c>
      <c r="G24">
        <v>3.6</v>
      </c>
      <c r="H24">
        <v>39</v>
      </c>
      <c r="I24" t="s">
        <v>681</v>
      </c>
      <c r="J24" t="s">
        <v>629</v>
      </c>
      <c r="K24">
        <v>1000</v>
      </c>
      <c r="AC24" t="s">
        <v>840</v>
      </c>
      <c r="AP24">
        <v>1</v>
      </c>
      <c r="AQ24">
        <v>1</v>
      </c>
      <c r="AR24">
        <v>1</v>
      </c>
      <c r="BK24">
        <v>100</v>
      </c>
      <c r="BL24">
        <v>98</v>
      </c>
      <c r="BM24">
        <v>96</v>
      </c>
      <c r="BN24">
        <v>94</v>
      </c>
      <c r="BO24">
        <v>92</v>
      </c>
      <c r="BP24">
        <v>90</v>
      </c>
      <c r="BQ24">
        <v>88</v>
      </c>
      <c r="BR24">
        <v>86</v>
      </c>
      <c r="BS24">
        <v>84</v>
      </c>
    </row>
    <row r="25" spans="1:71" x14ac:dyDescent="0.4">
      <c r="A25" t="str">
        <f t="shared" si="4"/>
        <v>2024학년도 정시</v>
      </c>
      <c r="B25" t="str">
        <f t="shared" si="5"/>
        <v>건양대학교</v>
      </c>
      <c r="C25" t="str">
        <f t="shared" si="6"/>
        <v>나군</v>
      </c>
      <c r="D25" t="s">
        <v>836</v>
      </c>
      <c r="E25" t="s">
        <v>32</v>
      </c>
      <c r="F25">
        <v>5</v>
      </c>
      <c r="G25">
        <v>3.4</v>
      </c>
      <c r="H25">
        <v>5</v>
      </c>
      <c r="I25" t="s">
        <v>684</v>
      </c>
      <c r="J25" t="s">
        <v>685</v>
      </c>
      <c r="K25">
        <v>1000</v>
      </c>
      <c r="AC25" t="s">
        <v>840</v>
      </c>
      <c r="AP25">
        <v>1</v>
      </c>
      <c r="AQ25">
        <v>1</v>
      </c>
      <c r="AR25">
        <v>1</v>
      </c>
      <c r="BK25">
        <v>100</v>
      </c>
      <c r="BL25">
        <v>98</v>
      </c>
      <c r="BM25">
        <v>96</v>
      </c>
      <c r="BN25">
        <v>94</v>
      </c>
      <c r="BO25">
        <v>92</v>
      </c>
      <c r="BP25">
        <v>90</v>
      </c>
      <c r="BQ25">
        <v>88</v>
      </c>
      <c r="BR25">
        <v>86</v>
      </c>
      <c r="BS25">
        <v>84</v>
      </c>
    </row>
    <row r="26" spans="1:71" x14ac:dyDescent="0.4">
      <c r="A26" t="str">
        <f t="shared" si="4"/>
        <v>2024학년도 정시</v>
      </c>
      <c r="B26" t="str">
        <f t="shared" si="5"/>
        <v>건양대학교</v>
      </c>
      <c r="C26" t="str">
        <f t="shared" si="6"/>
        <v>나군</v>
      </c>
      <c r="D26" t="s">
        <v>836</v>
      </c>
      <c r="E26" t="s">
        <v>33</v>
      </c>
      <c r="F26">
        <v>14</v>
      </c>
      <c r="G26">
        <v>3.2</v>
      </c>
      <c r="H26">
        <v>12</v>
      </c>
      <c r="I26" t="s">
        <v>630</v>
      </c>
      <c r="J26" t="s">
        <v>689</v>
      </c>
      <c r="K26">
        <v>1000</v>
      </c>
      <c r="AC26" t="s">
        <v>840</v>
      </c>
      <c r="AP26">
        <v>1</v>
      </c>
      <c r="AQ26">
        <v>1</v>
      </c>
      <c r="AR26">
        <v>1</v>
      </c>
      <c r="BK26">
        <v>100</v>
      </c>
      <c r="BL26">
        <v>98</v>
      </c>
      <c r="BM26">
        <v>96</v>
      </c>
      <c r="BN26">
        <v>94</v>
      </c>
      <c r="BO26">
        <v>92</v>
      </c>
      <c r="BP26">
        <v>90</v>
      </c>
      <c r="BQ26">
        <v>88</v>
      </c>
      <c r="BR26">
        <v>86</v>
      </c>
      <c r="BS26">
        <v>84</v>
      </c>
    </row>
    <row r="27" spans="1:71" x14ac:dyDescent="0.4">
      <c r="A27" t="str">
        <f t="shared" si="4"/>
        <v>2024학년도 정시</v>
      </c>
      <c r="B27" t="str">
        <f t="shared" si="5"/>
        <v>건양대학교</v>
      </c>
      <c r="C27" t="str">
        <f t="shared" si="6"/>
        <v>나군</v>
      </c>
      <c r="D27" t="s">
        <v>836</v>
      </c>
      <c r="E27" t="s">
        <v>36</v>
      </c>
      <c r="F27">
        <v>16</v>
      </c>
      <c r="G27">
        <v>0.6</v>
      </c>
      <c r="H27" t="s">
        <v>490</v>
      </c>
      <c r="I27" t="s">
        <v>691</v>
      </c>
      <c r="J27" t="s">
        <v>691</v>
      </c>
      <c r="K27">
        <v>1000</v>
      </c>
      <c r="AC27" t="s">
        <v>840</v>
      </c>
      <c r="AP27">
        <v>1</v>
      </c>
      <c r="AQ27">
        <v>1</v>
      </c>
      <c r="AR27">
        <v>1</v>
      </c>
      <c r="BK27">
        <v>100</v>
      </c>
      <c r="BL27">
        <v>98</v>
      </c>
      <c r="BM27">
        <v>96</v>
      </c>
      <c r="BN27">
        <v>94</v>
      </c>
      <c r="BO27">
        <v>92</v>
      </c>
      <c r="BP27">
        <v>90</v>
      </c>
      <c r="BQ27">
        <v>88</v>
      </c>
      <c r="BR27">
        <v>86</v>
      </c>
      <c r="BS27">
        <v>84</v>
      </c>
    </row>
    <row r="28" spans="1:71" x14ac:dyDescent="0.4">
      <c r="A28" t="str">
        <f t="shared" si="4"/>
        <v>2024학년도 정시</v>
      </c>
      <c r="B28" t="str">
        <f t="shared" si="5"/>
        <v>건양대학교</v>
      </c>
      <c r="C28" t="str">
        <f t="shared" si="6"/>
        <v>나군</v>
      </c>
      <c r="D28" t="s">
        <v>836</v>
      </c>
      <c r="E28" t="s">
        <v>38</v>
      </c>
      <c r="F28">
        <v>24</v>
      </c>
      <c r="G28">
        <v>0.6</v>
      </c>
      <c r="H28" t="s">
        <v>490</v>
      </c>
      <c r="I28" t="s">
        <v>694</v>
      </c>
      <c r="J28" t="s">
        <v>695</v>
      </c>
      <c r="K28">
        <v>1000</v>
      </c>
      <c r="AC28" t="s">
        <v>840</v>
      </c>
      <c r="AP28">
        <v>1</v>
      </c>
      <c r="AQ28">
        <v>1</v>
      </c>
      <c r="AR28">
        <v>1</v>
      </c>
      <c r="BK28">
        <v>100</v>
      </c>
      <c r="BL28">
        <v>98</v>
      </c>
      <c r="BM28">
        <v>96</v>
      </c>
      <c r="BN28">
        <v>94</v>
      </c>
      <c r="BO28">
        <v>92</v>
      </c>
      <c r="BP28">
        <v>90</v>
      </c>
      <c r="BQ28">
        <v>88</v>
      </c>
      <c r="BR28">
        <v>86</v>
      </c>
      <c r="BS28">
        <v>84</v>
      </c>
    </row>
    <row r="29" spans="1:71" x14ac:dyDescent="0.4">
      <c r="A29" t="str">
        <f t="shared" si="4"/>
        <v>2024학년도 정시</v>
      </c>
      <c r="B29" t="str">
        <f t="shared" si="5"/>
        <v>건양대학교</v>
      </c>
      <c r="C29" t="str">
        <f t="shared" si="6"/>
        <v>나군</v>
      </c>
      <c r="D29" t="s">
        <v>836</v>
      </c>
      <c r="E29" t="s">
        <v>39</v>
      </c>
      <c r="F29">
        <v>15</v>
      </c>
      <c r="G29">
        <v>0.4</v>
      </c>
      <c r="H29" t="s">
        <v>490</v>
      </c>
      <c r="I29" t="s">
        <v>626</v>
      </c>
      <c r="J29" t="s">
        <v>698</v>
      </c>
      <c r="K29">
        <v>1000</v>
      </c>
      <c r="AC29" t="s">
        <v>840</v>
      </c>
      <c r="AP29">
        <v>1</v>
      </c>
      <c r="AQ29">
        <v>1</v>
      </c>
      <c r="AR29">
        <v>1</v>
      </c>
      <c r="BK29">
        <v>100</v>
      </c>
      <c r="BL29">
        <v>98</v>
      </c>
      <c r="BM29">
        <v>96</v>
      </c>
      <c r="BN29">
        <v>94</v>
      </c>
      <c r="BO29">
        <v>92</v>
      </c>
      <c r="BP29">
        <v>90</v>
      </c>
      <c r="BQ29">
        <v>88</v>
      </c>
      <c r="BR29">
        <v>86</v>
      </c>
      <c r="BS29">
        <v>84</v>
      </c>
    </row>
    <row r="30" spans="1:71" x14ac:dyDescent="0.4">
      <c r="A30" t="str">
        <f t="shared" si="4"/>
        <v>2024학년도 정시</v>
      </c>
      <c r="B30" t="str">
        <f t="shared" si="5"/>
        <v>건양대학교</v>
      </c>
      <c r="C30" t="str">
        <f t="shared" si="6"/>
        <v>나군</v>
      </c>
      <c r="D30" t="s">
        <v>836</v>
      </c>
      <c r="E30" t="s">
        <v>40</v>
      </c>
      <c r="F30">
        <v>17</v>
      </c>
      <c r="G30">
        <v>1.6</v>
      </c>
      <c r="H30">
        <v>11</v>
      </c>
      <c r="I30" t="s">
        <v>701</v>
      </c>
      <c r="J30" t="s">
        <v>702</v>
      </c>
      <c r="K30">
        <v>1000</v>
      </c>
      <c r="AC30" t="s">
        <v>840</v>
      </c>
      <c r="AP30">
        <v>1</v>
      </c>
      <c r="AQ30">
        <v>1</v>
      </c>
      <c r="AR30">
        <v>1</v>
      </c>
      <c r="BK30">
        <v>100</v>
      </c>
      <c r="BL30">
        <v>98</v>
      </c>
      <c r="BM30">
        <v>96</v>
      </c>
      <c r="BN30">
        <v>94</v>
      </c>
      <c r="BO30">
        <v>92</v>
      </c>
      <c r="BP30">
        <v>90</v>
      </c>
      <c r="BQ30">
        <v>88</v>
      </c>
      <c r="BR30">
        <v>86</v>
      </c>
      <c r="BS30">
        <v>84</v>
      </c>
    </row>
    <row r="31" spans="1:71" x14ac:dyDescent="0.4">
      <c r="A31" t="str">
        <f t="shared" si="4"/>
        <v>2024학년도 정시</v>
      </c>
      <c r="B31" t="str">
        <f t="shared" si="5"/>
        <v>건양대학교</v>
      </c>
      <c r="C31" t="str">
        <f t="shared" si="6"/>
        <v>나군</v>
      </c>
      <c r="D31" t="s">
        <v>836</v>
      </c>
      <c r="E31" t="s">
        <v>41</v>
      </c>
      <c r="F31">
        <v>8</v>
      </c>
      <c r="G31">
        <v>2.1</v>
      </c>
      <c r="H31">
        <v>9</v>
      </c>
      <c r="I31" t="s">
        <v>703</v>
      </c>
      <c r="J31" t="s">
        <v>704</v>
      </c>
      <c r="K31">
        <v>1000</v>
      </c>
      <c r="AC31" t="s">
        <v>840</v>
      </c>
      <c r="AP31">
        <v>1</v>
      </c>
      <c r="AQ31">
        <v>1</v>
      </c>
      <c r="AR31">
        <v>1</v>
      </c>
      <c r="BK31">
        <v>100</v>
      </c>
      <c r="BL31">
        <v>98</v>
      </c>
      <c r="BM31">
        <v>96</v>
      </c>
      <c r="BN31">
        <v>94</v>
      </c>
      <c r="BO31">
        <v>92</v>
      </c>
      <c r="BP31">
        <v>90</v>
      </c>
      <c r="BQ31">
        <v>88</v>
      </c>
      <c r="BR31">
        <v>86</v>
      </c>
      <c r="BS31">
        <v>84</v>
      </c>
    </row>
    <row r="32" spans="1:71" x14ac:dyDescent="0.4">
      <c r="A32" t="str">
        <f t="shared" ref="A32:B32" si="7">A31</f>
        <v>2024학년도 정시</v>
      </c>
      <c r="B32" t="str">
        <f t="shared" si="7"/>
        <v>건양대학교</v>
      </c>
      <c r="C32" t="s">
        <v>732</v>
      </c>
      <c r="D32" t="s">
        <v>836</v>
      </c>
      <c r="E32" t="s">
        <v>729</v>
      </c>
      <c r="F32">
        <v>7</v>
      </c>
      <c r="G32">
        <v>4</v>
      </c>
      <c r="H32">
        <v>6</v>
      </c>
      <c r="I32" t="s">
        <v>679</v>
      </c>
      <c r="J32" t="s">
        <v>710</v>
      </c>
      <c r="K32">
        <v>1000</v>
      </c>
      <c r="AC32" t="s">
        <v>840</v>
      </c>
      <c r="AP32">
        <v>1</v>
      </c>
      <c r="AQ32">
        <v>1</v>
      </c>
      <c r="AR32">
        <v>1</v>
      </c>
      <c r="BK32">
        <v>100</v>
      </c>
      <c r="BL32">
        <v>98</v>
      </c>
      <c r="BM32">
        <v>96</v>
      </c>
      <c r="BN32">
        <v>94</v>
      </c>
      <c r="BO32">
        <v>92</v>
      </c>
      <c r="BP32">
        <v>90</v>
      </c>
      <c r="BQ32">
        <v>88</v>
      </c>
      <c r="BR32">
        <v>86</v>
      </c>
      <c r="BS32">
        <v>84</v>
      </c>
    </row>
    <row r="33" spans="1:71" x14ac:dyDescent="0.4">
      <c r="A33" t="str">
        <f t="shared" ref="A33:C36" si="8">A32</f>
        <v>2024학년도 정시</v>
      </c>
      <c r="B33" t="str">
        <f t="shared" si="8"/>
        <v>건양대학교</v>
      </c>
      <c r="C33" t="str">
        <f t="shared" si="8"/>
        <v>다군</v>
      </c>
      <c r="D33" t="s">
        <v>836</v>
      </c>
      <c r="E33" t="s">
        <v>31</v>
      </c>
      <c r="F33">
        <v>7</v>
      </c>
      <c r="G33">
        <v>1.3</v>
      </c>
      <c r="H33">
        <v>2</v>
      </c>
      <c r="I33" t="s">
        <v>714</v>
      </c>
      <c r="J33" t="s">
        <v>698</v>
      </c>
      <c r="K33">
        <v>1000</v>
      </c>
      <c r="AC33" t="s">
        <v>840</v>
      </c>
      <c r="AP33">
        <v>1</v>
      </c>
      <c r="AQ33">
        <v>1</v>
      </c>
      <c r="AR33">
        <v>1</v>
      </c>
      <c r="BK33">
        <v>100</v>
      </c>
      <c r="BL33">
        <v>98</v>
      </c>
      <c r="BM33">
        <v>96</v>
      </c>
      <c r="BN33">
        <v>94</v>
      </c>
      <c r="BO33">
        <v>92</v>
      </c>
      <c r="BP33">
        <v>90</v>
      </c>
      <c r="BQ33">
        <v>88</v>
      </c>
      <c r="BR33">
        <v>86</v>
      </c>
      <c r="BS33">
        <v>84</v>
      </c>
    </row>
    <row r="34" spans="1:71" x14ac:dyDescent="0.4">
      <c r="A34" t="str">
        <f t="shared" si="8"/>
        <v>2024학년도 정시</v>
      </c>
      <c r="B34" t="str">
        <f t="shared" si="8"/>
        <v>건양대학교</v>
      </c>
      <c r="C34" t="str">
        <f t="shared" si="8"/>
        <v>다군</v>
      </c>
      <c r="D34" t="s">
        <v>836</v>
      </c>
      <c r="E34" t="s">
        <v>46</v>
      </c>
      <c r="F34">
        <v>14</v>
      </c>
      <c r="G34">
        <v>2.4</v>
      </c>
      <c r="H34">
        <v>19</v>
      </c>
      <c r="I34" t="s">
        <v>701</v>
      </c>
      <c r="J34" t="s">
        <v>718</v>
      </c>
      <c r="K34">
        <v>1000</v>
      </c>
      <c r="AC34" t="s">
        <v>840</v>
      </c>
      <c r="AP34">
        <v>1</v>
      </c>
      <c r="AQ34">
        <v>1</v>
      </c>
      <c r="AR34">
        <v>1</v>
      </c>
      <c r="BK34">
        <v>100</v>
      </c>
      <c r="BL34">
        <v>98</v>
      </c>
      <c r="BM34">
        <v>96</v>
      </c>
      <c r="BN34">
        <v>94</v>
      </c>
      <c r="BO34">
        <v>92</v>
      </c>
      <c r="BP34">
        <v>90</v>
      </c>
      <c r="BQ34">
        <v>88</v>
      </c>
      <c r="BR34">
        <v>86</v>
      </c>
      <c r="BS34">
        <v>84</v>
      </c>
    </row>
    <row r="35" spans="1:71" x14ac:dyDescent="0.4">
      <c r="A35" t="str">
        <f t="shared" si="8"/>
        <v>2024학년도 정시</v>
      </c>
      <c r="B35" t="str">
        <f t="shared" si="8"/>
        <v>건양대학교</v>
      </c>
      <c r="C35" t="str">
        <f t="shared" si="8"/>
        <v>다군</v>
      </c>
      <c r="D35" t="s">
        <v>836</v>
      </c>
      <c r="E35" t="s">
        <v>47</v>
      </c>
      <c r="F35">
        <v>19</v>
      </c>
      <c r="G35">
        <v>1.8</v>
      </c>
      <c r="H35">
        <v>15</v>
      </c>
      <c r="I35" t="s">
        <v>717</v>
      </c>
      <c r="J35" t="s">
        <v>721</v>
      </c>
      <c r="K35">
        <v>1000</v>
      </c>
      <c r="AC35" t="s">
        <v>840</v>
      </c>
      <c r="AP35">
        <v>1</v>
      </c>
      <c r="AQ35">
        <v>1</v>
      </c>
      <c r="AR35">
        <v>1</v>
      </c>
      <c r="BK35">
        <v>100</v>
      </c>
      <c r="BL35">
        <v>98</v>
      </c>
      <c r="BM35">
        <v>96</v>
      </c>
      <c r="BN35">
        <v>94</v>
      </c>
      <c r="BO35">
        <v>92</v>
      </c>
      <c r="BP35">
        <v>90</v>
      </c>
      <c r="BQ35">
        <v>88</v>
      </c>
      <c r="BR35">
        <v>86</v>
      </c>
      <c r="BS35">
        <v>84</v>
      </c>
    </row>
    <row r="36" spans="1:71" x14ac:dyDescent="0.4">
      <c r="A36" t="str">
        <f t="shared" si="8"/>
        <v>2024학년도 정시</v>
      </c>
      <c r="B36" t="str">
        <f t="shared" si="8"/>
        <v>건양대학교</v>
      </c>
      <c r="C36" t="str">
        <f t="shared" si="8"/>
        <v>다군</v>
      </c>
      <c r="D36" t="s">
        <v>836</v>
      </c>
      <c r="E36" t="s">
        <v>48</v>
      </c>
      <c r="F36">
        <v>19</v>
      </c>
      <c r="G36">
        <v>4.3</v>
      </c>
      <c r="H36">
        <v>23</v>
      </c>
      <c r="I36" t="s">
        <v>701</v>
      </c>
      <c r="J36" t="s">
        <v>724</v>
      </c>
      <c r="K36">
        <v>1000</v>
      </c>
      <c r="AC36" t="s">
        <v>840</v>
      </c>
      <c r="AP36">
        <v>1</v>
      </c>
      <c r="AQ36">
        <v>1</v>
      </c>
      <c r="AR36">
        <v>1</v>
      </c>
      <c r="BK36">
        <v>100</v>
      </c>
      <c r="BL36">
        <v>98</v>
      </c>
      <c r="BM36">
        <v>96</v>
      </c>
      <c r="BN36">
        <v>94</v>
      </c>
      <c r="BO36">
        <v>92</v>
      </c>
      <c r="BP36">
        <v>90</v>
      </c>
      <c r="BQ36">
        <v>88</v>
      </c>
      <c r="BR36">
        <v>86</v>
      </c>
      <c r="BS36">
        <v>84</v>
      </c>
    </row>
    <row r="37" spans="1:71" x14ac:dyDescent="0.4">
      <c r="A37" t="str">
        <f t="shared" ref="A37:B37" si="9">A36</f>
        <v>2024학년도 정시</v>
      </c>
      <c r="B37" t="str">
        <f t="shared" si="9"/>
        <v>건양대학교</v>
      </c>
      <c r="C37" t="s">
        <v>730</v>
      </c>
      <c r="D37" t="s">
        <v>72</v>
      </c>
      <c r="E37" t="s">
        <v>51</v>
      </c>
      <c r="F37">
        <v>22</v>
      </c>
      <c r="G37">
        <v>0.3</v>
      </c>
      <c r="I37" t="s">
        <v>728</v>
      </c>
      <c r="J37" t="s">
        <v>728</v>
      </c>
      <c r="K37">
        <v>700</v>
      </c>
      <c r="AC37" t="s">
        <v>840</v>
      </c>
      <c r="AP37">
        <v>1</v>
      </c>
      <c r="AQ37">
        <v>1</v>
      </c>
      <c r="AR37">
        <v>1</v>
      </c>
      <c r="BK37">
        <v>100</v>
      </c>
      <c r="BL37">
        <v>95</v>
      </c>
      <c r="BM37">
        <v>90</v>
      </c>
      <c r="BN37">
        <v>85</v>
      </c>
      <c r="BO37">
        <v>80</v>
      </c>
      <c r="BP37">
        <v>75</v>
      </c>
      <c r="BQ37">
        <v>70</v>
      </c>
      <c r="BR37">
        <v>65</v>
      </c>
      <c r="BS37">
        <v>60</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23</vt:i4>
      </vt:variant>
    </vt:vector>
  </HeadingPairs>
  <TitlesOfParts>
    <vt:vector size="23" baseType="lpstr">
      <vt:lpstr>Sheet1</vt:lpstr>
      <vt:lpstr>Sheet2</vt:lpstr>
      <vt:lpstr>Sheet3</vt:lpstr>
      <vt:lpstr>Sheet4</vt:lpstr>
      <vt:lpstr>Sheet5</vt:lpstr>
      <vt:lpstr>Sheet6</vt:lpstr>
      <vt:lpstr>Sheet7</vt:lpstr>
      <vt:lpstr>Sheet8</vt:lpstr>
      <vt:lpstr>Sheet9</vt:lpstr>
      <vt:lpstr>Sheet10</vt:lpstr>
      <vt:lpstr>Sheet11</vt:lpstr>
      <vt:lpstr>Sheet12</vt:lpstr>
      <vt:lpstr>Sheet13</vt:lpstr>
      <vt:lpstr>Sheet14</vt:lpstr>
      <vt:lpstr>Sheet15</vt:lpstr>
      <vt:lpstr>Sheet16</vt:lpstr>
      <vt:lpstr>Sheet17</vt:lpstr>
      <vt:lpstr>Sheet18</vt:lpstr>
      <vt:lpstr>Sheet19</vt:lpstr>
      <vt:lpstr>Sheet20</vt:lpstr>
      <vt:lpstr>Sheet21</vt:lpstr>
      <vt:lpstr>Sheet22</vt:lpstr>
      <vt:lpstr>건양대학교-24학년도  입시 결과(최종)</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jaiwookchang</cp:lastModifiedBy>
  <dcterms:created xsi:type="dcterms:W3CDTF">2026-10-01T05:57:00Z</dcterms:created>
  <dcterms:modified xsi:type="dcterms:W3CDTF">2026-10-01T12:40:17Z</dcterms:modified>
</cp:coreProperties>
</file>