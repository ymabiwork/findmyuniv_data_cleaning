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" activeTab="1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영남대학교-24학년도-정시" sheetId="14" r:id="rId14"/>
  </sheets>
  <definedNames>
    <definedName name="_xlnm._FilterDatabase" localSheetId="13" hidden="1">'영남대학교-24학년도-정시'!$A$1:$DC$69</definedName>
  </definedNames>
  <calcPr calcId="162913"/>
</workbook>
</file>

<file path=xl/calcChain.xml><?xml version="1.0" encoding="utf-8"?>
<calcChain xmlns="http://schemas.openxmlformats.org/spreadsheetml/2006/main">
  <c r="D2" i="14" l="1"/>
  <c r="D3" i="14"/>
  <c r="D4" i="14" s="1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1" i="14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</calcChain>
</file>

<file path=xl/sharedStrings.xml><?xml version="1.0" encoding="utf-8"?>
<sst xmlns="http://schemas.openxmlformats.org/spreadsheetml/2006/main" count="1499" uniqueCount="500">
  <si>
    <t>비교대학 추가</t>
  </si>
  <si>
    <t>영남대학교[본교]</t>
  </si>
  <si>
    <t>전형별 주요사항 및 지원자격</t>
  </si>
  <si>
    <t>수능위주전형
공통사항</t>
  </si>
  <si>
    <t>- 대학수학능력시험의 취득 성적 등을 바탕으로 총점 고득점 순으로 선발
(체육학부의 경우, 수능성적 60% 실기고사 성적 40%)
- 모집단위별 필수 응시영역 및 선택과목</t>
  </si>
  <si>
    <t>모집단위</t>
  </si>
  <si>
    <t>필수 응시영역 및 선택과목</t>
  </si>
  <si>
    <t>전 모집단위(아래 제외)</t>
  </si>
  <si>
    <t>국어, 수학, 영어, 사회탐구/과학탐구(2개 과목), 한국사</t>
  </si>
  <si>
    <t>의예과, 약학부</t>
  </si>
  <si>
    <t>국어, 수학, 영어, 과학탐구(2개 과목), 한국사</t>
  </si>
  <si>
    <t>체육학부, 시각디자인학과,
산업디자인학과,
생활제품디자인학과</t>
  </si>
  <si>
    <t>국어, 수학, 영어, 사회탐구/과학탐구(2개) 중 3개 영역 이상, 한국사</t>
  </si>
  <si>
    <t>일반학생</t>
  </si>
  <si>
    <t>- 고등학교 졸업(예정)자 또는 법령에 의하여 이와 동등 이상의 학력이 있다고 인정되는 자를 대상으로 함</t>
  </si>
  <si>
    <t>지역인재</t>
  </si>
  <si>
    <t>- 대구·경북지역의 고등학교에서 입학일부터 졸업일까지 고등학교 전 교육과정을 이수한 졸업(예정)자 대상</t>
  </si>
  <si>
    <t>기회균형Ⅱ(의약)</t>
  </si>
  <si>
    <t>※ 수시모집 기회균형전형Ⅱ(의약)에서 미충원 인원이 있을 경우 선발할 수 있음
- 대구·경북지역의 고등학교에서 입학일부터 졸업일까지 고등학교 전 교육과정을 이수한 졸업(예정)자로서, 기초생활수급자, 차상위계층, 한부모가족 지원대상자 등의 지원자격에 해당하는 자를 위한 전형</t>
  </si>
  <si>
    <t>농어촌학생</t>
  </si>
  <si>
    <t>※ 수시모집 농어촌학생전형에서 미충원 인원이 있을 경우 선발할 수 있음
- 농어촌지역(지방자치법 제3조) 소재한 지역에 거주하고 해당 지역의 초·중·고교에서 12년 전 교육과정 이수 또는 중·고교에서 6년 전 교육과정을 이수한 졸업(예정)자 대상(상세 지원자격은 모집요강 참조)</t>
  </si>
  <si>
    <t>약학고른기회</t>
  </si>
  <si>
    <t>※ 수시모집 약학고른기회전형에서 미충원 인원이 있을 경우 선발할 수 있음
- 고등학교 졸업(예정)자 또는 법령에 의하여 이와 동등 이상의 학력이 있다고 인정되는 자로서, 기초생활수급자, 차상위계층, 한부모가족 지원대상자 등의 지원자격에 해당하는 자를 위한 전형</t>
  </si>
  <si>
    <t>특성화고교졸업자</t>
  </si>
  <si>
    <t>※ 수시모집 특성화고교졸업자전형에서 미충원 인원이 있을 경우 선발할 수 있음
- 특성화고교 등의 특성화학과 졸업(예정)자를 대상으로 하는 전형임</t>
  </si>
  <si>
    <t>군사학특별</t>
  </si>
  <si>
    <t>※ 수시모집 군사학특별전형에서 미충원 인원이 있을 경우 선발
- 군 인사법 제 10조에 저촉되지 아니한 자로서 임관일 기준 만 20세 이상 29세 이하인 고등학교 졸업(예정)자 또는 법령에 의하여 이와 동등 이상의 학력이 있다고 인정되는 자를 대상으로 하는 전형임
- 정시모집 대학수학능력시험 최저학력기준 적용</t>
  </si>
  <si>
    <t>필수 응시영역 및 선택과목, 최저학력기준</t>
  </si>
  <si>
    <t>군사학과</t>
  </si>
  <si>
    <t>필수 응시영역</t>
  </si>
  <si>
    <t>국어, 수학, 영어, 한국사 응시</t>
  </si>
  <si>
    <t>최저학력기준</t>
  </si>
  <si>
    <t>국어, 수학, 영어 중 1개 과목 성적의 등급이 5등급 이내</t>
  </si>
  <si>
    <t>- 전형방법</t>
  </si>
  <si>
    <t>전형단계</t>
  </si>
  <si>
    <t>전형요소별 배점 및 반영비율</t>
  </si>
  <si>
    <t>1단계</t>
  </si>
  <si>
    <t>대학수학능력시험 성적 100%(700점), 5배수 선발</t>
  </si>
  <si>
    <t>2단계</t>
  </si>
  <si>
    <t>1단계 성적 70% + 체력·면접 등 30%</t>
  </si>
  <si>
    <t>구분</t>
  </si>
  <si>
    <t>전형방법</t>
  </si>
  <si>
    <t>비고</t>
  </si>
  <si>
    <t>모집
인원</t>
  </si>
  <si>
    <t>선발방법</t>
  </si>
  <si>
    <t>전형요소 및 반영비율</t>
  </si>
  <si>
    <t>방법</t>
  </si>
  <si>
    <t>배수</t>
  </si>
  <si>
    <t>수능성적</t>
  </si>
  <si>
    <t>면접</t>
  </si>
  <si>
    <t>체력·면접등</t>
  </si>
  <si>
    <t>721</t>
  </si>
  <si>
    <t>일괄합산</t>
  </si>
  <si>
    <t>100%</t>
  </si>
  <si>
    <t>체육학부의 경우,
수능 60% 실기 40%</t>
  </si>
  <si>
    <t>37</t>
  </si>
  <si>
    <t>-</t>
  </si>
  <si>
    <t>5배수</t>
  </si>
  <si>
    <t>1배수</t>
  </si>
  <si>
    <t>70%</t>
  </si>
  <si>
    <t>30%</t>
  </si>
  <si>
    <t>모집단위(계열)</t>
  </si>
  <si>
    <t>영역별 가중치 및 반영비율(%)</t>
  </si>
  <si>
    <t>선택과목 가산점</t>
  </si>
  <si>
    <t>반영점수</t>
  </si>
  <si>
    <t>국어</t>
  </si>
  <si>
    <t>수학</t>
  </si>
  <si>
    <t>영어</t>
  </si>
  <si>
    <t>탐구</t>
  </si>
  <si>
    <t>한국사</t>
  </si>
  <si>
    <t>2.40
(30%)</t>
  </si>
  <si>
    <t>2.00
(25%)</t>
  </si>
  <si>
    <t>1.60
(20%)</t>
  </si>
  <si>
    <t>등급별
가산점
부여</t>
  </si>
  <si>
    <t>⦁수학 미적분, 기하 응시자는
취득 백분위의 5% 가산
⦁과학탐구 2과목 응시자는
취득 백분위의 5% 가산</t>
  </si>
  <si>
    <t>2.80
(35%)</t>
  </si>
  <si>
    <t>0.80
(10%)</t>
  </si>
  <si>
    <t>상위 3개 영역 각 33.3%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</si>
  <si>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</si>
  <si>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</si>
  <si>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</si>
  <si>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</si>
  <si>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</si>
  <si>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</si>
  <si>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</si>
  <si>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</si>
  <si>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</si>
  <si>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</si>
  <si>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100</t>
  </si>
  <si>
    <t>95</t>
  </si>
  <si>
    <t>90</t>
  </si>
  <si>
    <t>85</t>
  </si>
  <si>
    <t>80</t>
  </si>
  <si>
    <t>75</t>
  </si>
  <si>
    <t>70</t>
  </si>
  <si>
    <t>65</t>
  </si>
  <si>
    <t>10</t>
  </si>
  <si>
    <t>9.8</t>
  </si>
  <si>
    <t>9.6</t>
  </si>
  <si>
    <t>9.4</t>
  </si>
  <si>
    <t>9.2</t>
  </si>
  <si>
    <t>9.0</t>
  </si>
  <si>
    <t>8.8</t>
  </si>
  <si>
    <t>8.6</t>
  </si>
  <si>
    <t>한국사
(등급)</t>
  </si>
  <si>
    <t>영어
(등급)</t>
  </si>
  <si>
    <t>과학탐구</t>
  </si>
  <si>
    <t>언어와 매체</t>
  </si>
  <si>
    <t>기하</t>
  </si>
  <si>
    <t>물리Ⅰ</t>
  </si>
  <si>
    <t>화학Ⅰ</t>
  </si>
  <si>
    <t>93</t>
  </si>
  <si>
    <t>경쟁률</t>
  </si>
  <si>
    <t>충원
합격
순위</t>
  </si>
  <si>
    <t>대학별환산</t>
  </si>
  <si>
    <t>최종등록자
70% cut
평균(백분위)</t>
  </si>
  <si>
    <t>최종등록자
70%cut</t>
  </si>
  <si>
    <t>총점
(수능)</t>
  </si>
  <si>
    <t>가군</t>
  </si>
  <si>
    <t>전공자유선택학부</t>
  </si>
  <si>
    <t>38</t>
  </si>
  <si>
    <t>5.53</t>
  </si>
  <si>
    <t>63</t>
  </si>
  <si>
    <t>610.00</t>
  </si>
  <si>
    <t>810</t>
  </si>
  <si>
    <t>69.67</t>
  </si>
  <si>
    <t>국어국문학과</t>
  </si>
  <si>
    <t>4.33</t>
  </si>
  <si>
    <t>11</t>
  </si>
  <si>
    <t>572.00</t>
  </si>
  <si>
    <t>63.67</t>
  </si>
  <si>
    <t>일어일문학과</t>
  </si>
  <si>
    <t>5.20</t>
  </si>
  <si>
    <t>587.80</t>
  </si>
  <si>
    <t>66.67</t>
  </si>
  <si>
    <t>영어영문학과</t>
  </si>
  <si>
    <t>13</t>
  </si>
  <si>
    <t>5.00</t>
  </si>
  <si>
    <t>16</t>
  </si>
  <si>
    <t>558.60</t>
  </si>
  <si>
    <t>60.17</t>
  </si>
  <si>
    <t>유럽언어문화학부</t>
  </si>
  <si>
    <t>9.43</t>
  </si>
  <si>
    <t>566.20</t>
  </si>
  <si>
    <t>63.33</t>
  </si>
  <si>
    <t>철학과</t>
  </si>
  <si>
    <t>6.17</t>
  </si>
  <si>
    <t>571.20</t>
  </si>
  <si>
    <t>60.50</t>
  </si>
  <si>
    <t>역사학과</t>
  </si>
  <si>
    <t>4.14</t>
  </si>
  <si>
    <t>564.80</t>
  </si>
  <si>
    <t>문화인류학과</t>
  </si>
  <si>
    <t>9.80</t>
  </si>
  <si>
    <t>569.60</t>
  </si>
  <si>
    <t>수학과</t>
  </si>
  <si>
    <t>6.75</t>
  </si>
  <si>
    <t>21</t>
  </si>
  <si>
    <t>591.46</t>
  </si>
  <si>
    <t>832</t>
  </si>
  <si>
    <t>64.50</t>
  </si>
  <si>
    <t>통계학과</t>
  </si>
  <si>
    <t>4.70</t>
  </si>
  <si>
    <t>575.24</t>
  </si>
  <si>
    <t>62.33</t>
  </si>
  <si>
    <t>물리학과</t>
  </si>
  <si>
    <t>8.00</t>
  </si>
  <si>
    <t>584.16</t>
  </si>
  <si>
    <t>63.00</t>
  </si>
  <si>
    <t>생명과학과</t>
  </si>
  <si>
    <t>5.38</t>
  </si>
  <si>
    <t>25</t>
  </si>
  <si>
    <t>546.35</t>
  </si>
  <si>
    <t>58.17</t>
  </si>
  <si>
    <t>심리학과</t>
  </si>
  <si>
    <t>576.80</t>
  </si>
  <si>
    <t>67.00</t>
  </si>
  <si>
    <t>사회학과</t>
  </si>
  <si>
    <t>5.14</t>
  </si>
  <si>
    <t>584.80</t>
  </si>
  <si>
    <t>66.50</t>
  </si>
  <si>
    <t>미디어커뮤니케이션학과</t>
  </si>
  <si>
    <t>4.86</t>
  </si>
  <si>
    <t>607.40</t>
  </si>
  <si>
    <t>69.33</t>
  </si>
  <si>
    <t>경제금융학부</t>
  </si>
  <si>
    <t>28</t>
  </si>
  <si>
    <t>4.11</t>
  </si>
  <si>
    <t>578.40</t>
  </si>
  <si>
    <t>65.50</t>
  </si>
  <si>
    <t>경영학과</t>
  </si>
  <si>
    <t>34</t>
  </si>
  <si>
    <t>3.21</t>
  </si>
  <si>
    <t>33</t>
  </si>
  <si>
    <t>572.80</t>
  </si>
  <si>
    <t>65.00</t>
  </si>
  <si>
    <t>무역학부</t>
  </si>
  <si>
    <t>22</t>
  </si>
  <si>
    <t>3.86</t>
  </si>
  <si>
    <t>594.00</t>
  </si>
  <si>
    <t>67.83</t>
  </si>
  <si>
    <t>회계세무학과</t>
  </si>
  <si>
    <t>18</t>
  </si>
  <si>
    <t>3.00</t>
  </si>
  <si>
    <t>17</t>
  </si>
  <si>
    <t>65.33</t>
  </si>
  <si>
    <t>의예과</t>
  </si>
  <si>
    <t>4.23</t>
  </si>
  <si>
    <t>23</t>
  </si>
  <si>
    <t>796.40</t>
  </si>
  <si>
    <t>98.33</t>
  </si>
  <si>
    <t>약학부</t>
  </si>
  <si>
    <t>5.50</t>
  </si>
  <si>
    <t>15</t>
  </si>
  <si>
    <t>785.40</t>
  </si>
  <si>
    <t>97.00</t>
  </si>
  <si>
    <t>주거환경학과</t>
  </si>
  <si>
    <t>6.63</t>
  </si>
  <si>
    <t>579.80</t>
  </si>
  <si>
    <t>64.83</t>
  </si>
  <si>
    <t>식품영양학과</t>
  </si>
  <si>
    <t>6.36</t>
  </si>
  <si>
    <t>589.20</t>
  </si>
  <si>
    <t>64.17</t>
  </si>
  <si>
    <t>체육학전공</t>
  </si>
  <si>
    <t>2.89</t>
  </si>
  <si>
    <t>342.60</t>
  </si>
  <si>
    <t>490</t>
  </si>
  <si>
    <t>국 ,수 ,영 ,탐(2) 중
상위 3영역 평균 반영</t>
  </si>
  <si>
    <t>의류패션학과</t>
  </si>
  <si>
    <t>4.38</t>
  </si>
  <si>
    <t>14</t>
  </si>
  <si>
    <t>582.00</t>
  </si>
  <si>
    <t>휴먼서비스학과</t>
  </si>
  <si>
    <t>5.57</t>
  </si>
  <si>
    <t>577.60</t>
  </si>
  <si>
    <t>64.67</t>
  </si>
  <si>
    <t>시각디자인학과</t>
  </si>
  <si>
    <t>5.33</t>
  </si>
  <si>
    <t>692.07</t>
  </si>
  <si>
    <t>산업디자인학과</t>
  </si>
  <si>
    <t>6.50</t>
  </si>
  <si>
    <t>생활제품디자인학과</t>
  </si>
  <si>
    <t>7.00</t>
  </si>
  <si>
    <t>중국언어문화학과</t>
  </si>
  <si>
    <t>7.29</t>
  </si>
  <si>
    <t>570.00</t>
  </si>
  <si>
    <t>63.83</t>
  </si>
  <si>
    <t>3.33</t>
  </si>
  <si>
    <t>793.60</t>
  </si>
  <si>
    <t>97.83</t>
  </si>
  <si>
    <t>5.13</t>
  </si>
  <si>
    <t>784.40</t>
  </si>
  <si>
    <t>건설시스템공학과</t>
  </si>
  <si>
    <t>7.08</t>
  </si>
  <si>
    <t>609.17</t>
  </si>
  <si>
    <t>67.67</t>
  </si>
  <si>
    <t>환경공학과</t>
  </si>
  <si>
    <t>6.38</t>
  </si>
  <si>
    <t>614.48</t>
  </si>
  <si>
    <t>70.00</t>
  </si>
  <si>
    <t>도시공학과</t>
  </si>
  <si>
    <t>6.88</t>
  </si>
  <si>
    <t>586.40</t>
  </si>
  <si>
    <t>건축학부</t>
  </si>
  <si>
    <t>4.64</t>
  </si>
  <si>
    <t>29</t>
  </si>
  <si>
    <t>602.91</t>
  </si>
  <si>
    <t>기계공학부</t>
  </si>
  <si>
    <t>3.79</t>
  </si>
  <si>
    <t>82</t>
  </si>
  <si>
    <t>614.64</t>
  </si>
  <si>
    <t>68.00</t>
  </si>
  <si>
    <t>신소재공학부</t>
  </si>
  <si>
    <t>4.46</t>
  </si>
  <si>
    <t>51</t>
  </si>
  <si>
    <t>598.68</t>
  </si>
  <si>
    <t>65.67</t>
  </si>
  <si>
    <t>전기공학과</t>
  </si>
  <si>
    <t>577.16</t>
  </si>
  <si>
    <t>화학공학부</t>
  </si>
  <si>
    <t>62</t>
  </si>
  <si>
    <t>3.89</t>
  </si>
  <si>
    <t>67</t>
  </si>
  <si>
    <t>606.30</t>
  </si>
  <si>
    <t>67.17</t>
  </si>
  <si>
    <t>파이버시스템공학과</t>
  </si>
  <si>
    <t>8.50</t>
  </si>
  <si>
    <t>580.40</t>
  </si>
  <si>
    <t>전자공학과</t>
  </si>
  <si>
    <t>4.71</t>
  </si>
  <si>
    <t>44</t>
  </si>
  <si>
    <t>631.28</t>
  </si>
  <si>
    <t>72.17</t>
  </si>
  <si>
    <t>컴퓨터공학전공</t>
  </si>
  <si>
    <t>3.78</t>
  </si>
  <si>
    <t>46</t>
  </si>
  <si>
    <t>606.20</t>
  </si>
  <si>
    <t>65.83</t>
  </si>
  <si>
    <t>정보통신공학전공</t>
  </si>
  <si>
    <t>3.80</t>
  </si>
  <si>
    <t>24</t>
  </si>
  <si>
    <t>603.66</t>
  </si>
  <si>
    <t>64.33</t>
  </si>
  <si>
    <t>소프트웨어융합전공</t>
  </si>
  <si>
    <t>6.00</t>
  </si>
  <si>
    <t>630.13</t>
  </si>
  <si>
    <t>70.83</t>
  </si>
  <si>
    <t>미래자동차공학과</t>
  </si>
  <si>
    <t>4.06</t>
  </si>
  <si>
    <t>588.61</t>
  </si>
  <si>
    <t>63.17</t>
  </si>
  <si>
    <t>로봇공학과</t>
  </si>
  <si>
    <t>3.67</t>
  </si>
  <si>
    <t>608.68</t>
  </si>
  <si>
    <t>67.33</t>
  </si>
  <si>
    <t>정치외교학과</t>
  </si>
  <si>
    <t>5.44</t>
  </si>
  <si>
    <t>604.20</t>
  </si>
  <si>
    <t>행정학과</t>
  </si>
  <si>
    <t>27</t>
  </si>
  <si>
    <t>600.40</t>
  </si>
  <si>
    <t>경찰행정학과</t>
  </si>
  <si>
    <t>4.00</t>
  </si>
  <si>
    <t>604.40</t>
  </si>
  <si>
    <t>69.50</t>
  </si>
  <si>
    <t>식품경제외식학과</t>
  </si>
  <si>
    <t>4.56</t>
  </si>
  <si>
    <t>579.40</t>
  </si>
  <si>
    <t>원예생명과학과</t>
  </si>
  <si>
    <t>6.40</t>
  </si>
  <si>
    <t>574.40</t>
  </si>
  <si>
    <t>조경학과</t>
  </si>
  <si>
    <t>66.17</t>
  </si>
  <si>
    <t>산림자원학과</t>
  </si>
  <si>
    <t>8.14</t>
  </si>
  <si>
    <t>26</t>
  </si>
  <si>
    <t>576.00</t>
  </si>
  <si>
    <t>식품공학과</t>
  </si>
  <si>
    <t>4.25</t>
  </si>
  <si>
    <t>593.40</t>
  </si>
  <si>
    <t>생명공학과</t>
  </si>
  <si>
    <t>12</t>
  </si>
  <si>
    <t>613.44</t>
  </si>
  <si>
    <t>68.33</t>
  </si>
  <si>
    <t>의생명공학과</t>
  </si>
  <si>
    <t>5.80</t>
  </si>
  <si>
    <t>662.55</t>
  </si>
  <si>
    <t>76.17</t>
  </si>
  <si>
    <t>교육학과</t>
  </si>
  <si>
    <t>563.20</t>
  </si>
  <si>
    <t>62.83</t>
  </si>
  <si>
    <t>국어교육과</t>
  </si>
  <si>
    <t>5.67</t>
  </si>
  <si>
    <t>20</t>
  </si>
  <si>
    <t>604.80</t>
  </si>
  <si>
    <t>70.33</t>
  </si>
  <si>
    <t>영어교육과</t>
  </si>
  <si>
    <t>7.67</t>
  </si>
  <si>
    <t>32</t>
  </si>
  <si>
    <t>611.60</t>
  </si>
  <si>
    <t>70.17</t>
  </si>
  <si>
    <t>한문교육과</t>
  </si>
  <si>
    <t>4.83</t>
  </si>
  <si>
    <t>548.60</t>
  </si>
  <si>
    <t>60.83</t>
  </si>
  <si>
    <t>유아교육과</t>
  </si>
  <si>
    <t>3.71</t>
  </si>
  <si>
    <t>수학교육과</t>
  </si>
  <si>
    <t>19</t>
  </si>
  <si>
    <t>628.58</t>
  </si>
  <si>
    <t>새마을국제개발학과</t>
  </si>
  <si>
    <t>585.80</t>
  </si>
  <si>
    <t>글로벌교육학부</t>
  </si>
  <si>
    <t>576.40</t>
  </si>
  <si>
    <t>66.00</t>
  </si>
  <si>
    <t>글로벌비즈니스학과</t>
  </si>
  <si>
    <t>600.60</t>
  </si>
  <si>
    <t>글로벌통번역학부</t>
  </si>
  <si>
    <t>15.00</t>
  </si>
  <si>
    <t>나군</t>
  </si>
  <si>
    <t>800</t>
  </si>
  <si>
    <t>1.40</t>
  </si>
  <si>
    <t>541.33</t>
  </si>
  <si>
    <t>700</t>
  </si>
  <si>
    <t>국 ,수 ,영 ,탐(1) 중
상위 3영역 평균 반영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</si>
  <si>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</si>
  <si>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</si>
  <si>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</si>
  <si>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</si>
  <si>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</si>
  <si>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</si>
  <si>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</si>
  <si>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</si>
  <si>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</si>
  <si>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</si>
  <si>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</si>
  <si>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</si>
  <si>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</si>
  <si>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</si>
  <si>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</si>
  <si>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</si>
  <si>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</si>
  <si>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</si>
  <si>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</si>
  <si>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</si>
  <si>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</si>
  <si>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</si>
  <si>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</si>
  <si>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</si>
  <si>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</si>
  <si>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</si>
  <si>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</si>
  <si>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</si>
  <si>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</si>
  <si>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</si>
  <si>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</si>
  <si>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</si>
  <si>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</si>
  <si>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</si>
  <si>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</si>
  <si>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</si>
  <si>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</si>
  <si>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</si>
  <si>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</si>
  <si>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</si>
  <si>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</si>
  <si>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</si>
  <si>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</si>
  <si>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</si>
  <si>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</si>
  <si>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</si>
  <si>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</si>
  <si>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</si>
  <si>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</si>
  <si>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</si>
  <si>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</si>
  <si>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</si>
  <si>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</si>
  <si>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</si>
  <si>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</si>
  <si>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</si>
  <si>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</si>
  <si>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</si>
  <si>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</si>
  <si>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</si>
  <si>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</si>
  <si>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</si>
  <si>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</si>
  <si>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</si>
  <si>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</si>
  <si>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</si>
  <si>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</si>
  <si>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</si>
  <si>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</si>
  <si>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</si>
  <si>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</si>
  <si>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</si>
  <si>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</si>
  <si>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</si>
  <si>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</si>
  <si>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</si>
  <si>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</si>
  <si>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</si>
  <si>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</si>
  <si>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</si>
  <si>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</si>
  <si>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</si>
  <si>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</si>
  <si>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</si>
  <si>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</si>
  <si>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</si>
  <si>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</si>
  <si>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</si>
  <si>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</si>
  <si>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</si>
  <si>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</si>
  <si>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</si>
  <si>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</si>
  <si>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</si>
  <si>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</si>
  <si>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</si>
  <si>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</si>
  <si>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</si>
  <si>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</si>
  <si>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</si>
  <si>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</si>
  <si>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</si>
  <si>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나군</t>
    <phoneticPr fontId="1" type="noConversion"/>
  </si>
  <si>
    <t>화학과</t>
    <phoneticPr fontId="1" type="noConversion"/>
  </si>
  <si>
    <t>다군</t>
  </si>
  <si>
    <t>다군</t>
    <phoneticPr fontId="1" type="noConversion"/>
  </si>
  <si>
    <t>2024학년도 정시</t>
  </si>
  <si>
    <t>2024학년도 정시</t>
    <phoneticPr fontId="1" type="noConversion"/>
  </si>
  <si>
    <t>영남대학교</t>
  </si>
  <si>
    <t>영남대학교</t>
    <phoneticPr fontId="1" type="noConversion"/>
  </si>
  <si>
    <t>백분위</t>
    <phoneticPr fontId="1" type="noConversion"/>
  </si>
  <si>
    <t>Y</t>
    <phoneticPr fontId="1" type="noConversion"/>
  </si>
  <si>
    <t>일반학생전형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</si>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</sst>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H15" sqref="H15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3"/>
  <sheetViews>
    <sheetView workbookViewId="0"/>
  </sheetViews>
  <sheetFormatPr defaultRowHeight="17.399999999999999" x14ac:dyDescent="0.4"/>
  <sheetData>
    <row r="1" spans="1:3" x14ac:dyDescent="0.4">
      <c r="A1" t="s">
        <v>2</v>
      </c>
    </row>
    <row r="2" spans="1:3" x14ac:dyDescent="0.4">
      <c r="A2" t="s">
        <v>3</v>
      </c>
      <c r="B2" t="s">
        <v>4</v>
      </c>
    </row>
    <row r="3" spans="1:3" x14ac:dyDescent="0.4">
      <c r="B3" t="s">
        <v>5</v>
      </c>
      <c r="C3" t="s">
        <v>6</v>
      </c>
    </row>
    <row r="4" spans="1:3" x14ac:dyDescent="0.4">
      <c r="B4" t="s">
        <v>7</v>
      </c>
      <c r="C4" t="s">
        <v>8</v>
      </c>
    </row>
    <row r="5" spans="1:3" x14ac:dyDescent="0.4">
      <c r="B5" t="s">
        <v>9</v>
      </c>
      <c r="C5" t="s">
        <v>10</v>
      </c>
    </row>
    <row r="6" spans="1:3" x14ac:dyDescent="0.4">
      <c r="B6" t="s">
        <v>11</v>
      </c>
      <c r="C6" t="s">
        <v>12</v>
      </c>
    </row>
    <row r="7" spans="1:3" x14ac:dyDescent="0.4">
      <c r="A7" t="s">
        <v>13</v>
      </c>
      <c r="B7" t="s">
        <v>14</v>
      </c>
    </row>
    <row r="8" spans="1:3" x14ac:dyDescent="0.4">
      <c r="A8" t="s">
        <v>15</v>
      </c>
      <c r="B8" t="s">
        <v>16</v>
      </c>
    </row>
    <row r="9" spans="1:3" x14ac:dyDescent="0.4">
      <c r="A9" t="s">
        <v>17</v>
      </c>
      <c r="B9" t="s">
        <v>18</v>
      </c>
    </row>
    <row r="10" spans="1:3" x14ac:dyDescent="0.4">
      <c r="A10" t="s">
        <v>19</v>
      </c>
      <c r="B10" t="s">
        <v>20</v>
      </c>
    </row>
    <row r="11" spans="1:3" x14ac:dyDescent="0.4">
      <c r="A11" t="s">
        <v>21</v>
      </c>
      <c r="B11" t="s">
        <v>22</v>
      </c>
    </row>
    <row r="12" spans="1:3" x14ac:dyDescent="0.4">
      <c r="A12" t="s">
        <v>23</v>
      </c>
      <c r="B12" t="s">
        <v>24</v>
      </c>
    </row>
    <row r="13" spans="1:3" x14ac:dyDescent="0.4">
      <c r="A13" t="s">
        <v>25</v>
      </c>
      <c r="B13" t="s">
        <v>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7"/>
  <sheetViews>
    <sheetView workbookViewId="0"/>
  </sheetViews>
  <sheetFormatPr defaultRowHeight="17.399999999999999" x14ac:dyDescent="0.4"/>
  <sheetData>
    <row r="1" spans="1:4" x14ac:dyDescent="0.4">
      <c r="A1" t="s">
        <v>5</v>
      </c>
      <c r="C1" t="s">
        <v>27</v>
      </c>
    </row>
    <row r="2" spans="1:4" x14ac:dyDescent="0.4">
      <c r="A2" t="s">
        <v>28</v>
      </c>
      <c r="C2" t="s">
        <v>29</v>
      </c>
      <c r="D2" t="s">
        <v>30</v>
      </c>
    </row>
    <row r="3" spans="1:4" x14ac:dyDescent="0.4">
      <c r="C3" t="s">
        <v>31</v>
      </c>
      <c r="D3" t="s">
        <v>32</v>
      </c>
    </row>
    <row r="4" spans="1:4" x14ac:dyDescent="0.4">
      <c r="A4" t="s">
        <v>33</v>
      </c>
    </row>
    <row r="5" spans="1:4" x14ac:dyDescent="0.4">
      <c r="A5" t="s">
        <v>5</v>
      </c>
      <c r="B5" t="s">
        <v>34</v>
      </c>
      <c r="C5" t="s">
        <v>35</v>
      </c>
    </row>
    <row r="6" spans="1:4" x14ac:dyDescent="0.4">
      <c r="A6" t="s">
        <v>28</v>
      </c>
      <c r="B6" t="s">
        <v>36</v>
      </c>
      <c r="C6" t="s">
        <v>37</v>
      </c>
    </row>
    <row r="7" spans="1:4" x14ac:dyDescent="0.4">
      <c r="B7" t="s">
        <v>38</v>
      </c>
      <c r="C7" t="s">
        <v>39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1"/>
  <sheetViews>
    <sheetView workbookViewId="0"/>
  </sheetViews>
  <sheetFormatPr defaultRowHeight="17.399999999999999" x14ac:dyDescent="0.4"/>
  <sheetData>
    <row r="1" spans="1:8" x14ac:dyDescent="0.4">
      <c r="A1" t="s">
        <v>40</v>
      </c>
      <c r="B1" t="s">
        <v>41</v>
      </c>
      <c r="H1" t="s">
        <v>42</v>
      </c>
    </row>
    <row r="2" spans="1:8" x14ac:dyDescent="0.4">
      <c r="B2" t="s">
        <v>43</v>
      </c>
      <c r="C2" t="s">
        <v>44</v>
      </c>
      <c r="E2" t="s">
        <v>45</v>
      </c>
    </row>
    <row r="3" spans="1:8" x14ac:dyDescent="0.4">
      <c r="C3" t="s">
        <v>46</v>
      </c>
      <c r="D3" t="s">
        <v>47</v>
      </c>
      <c r="E3" t="s">
        <v>48</v>
      </c>
      <c r="F3" t="s">
        <v>49</v>
      </c>
      <c r="G3" t="s">
        <v>50</v>
      </c>
    </row>
    <row r="4" spans="1:8" x14ac:dyDescent="0.4">
      <c r="A4" t="s">
        <v>13</v>
      </c>
      <c r="B4" t="s">
        <v>51</v>
      </c>
      <c r="C4" t="s">
        <v>52</v>
      </c>
      <c r="E4" t="s">
        <v>53</v>
      </c>
      <c r="H4" t="s">
        <v>54</v>
      </c>
    </row>
    <row r="5" spans="1:8" x14ac:dyDescent="0.4">
      <c r="A5" t="s">
        <v>15</v>
      </c>
      <c r="B5" t="s">
        <v>55</v>
      </c>
      <c r="C5" t="s">
        <v>52</v>
      </c>
      <c r="E5" t="s">
        <v>53</v>
      </c>
    </row>
    <row r="6" spans="1:8" x14ac:dyDescent="0.4">
      <c r="A6" t="s">
        <v>17</v>
      </c>
      <c r="B6" t="s">
        <v>56</v>
      </c>
      <c r="C6" t="s">
        <v>52</v>
      </c>
      <c r="E6" t="s">
        <v>53</v>
      </c>
    </row>
    <row r="7" spans="1:8" x14ac:dyDescent="0.4">
      <c r="A7" t="s">
        <v>25</v>
      </c>
      <c r="B7" t="s">
        <v>56</v>
      </c>
      <c r="C7" t="s">
        <v>36</v>
      </c>
      <c r="D7" t="s">
        <v>57</v>
      </c>
      <c r="E7" t="s">
        <v>53</v>
      </c>
    </row>
    <row r="8" spans="1:8" x14ac:dyDescent="0.4">
      <c r="C8" t="s">
        <v>38</v>
      </c>
      <c r="D8" t="s">
        <v>58</v>
      </c>
      <c r="E8" t="s">
        <v>59</v>
      </c>
      <c r="G8" t="s">
        <v>60</v>
      </c>
    </row>
    <row r="9" spans="1:8" x14ac:dyDescent="0.4">
      <c r="A9" t="s">
        <v>19</v>
      </c>
      <c r="B9" t="s">
        <v>56</v>
      </c>
      <c r="C9" t="s">
        <v>52</v>
      </c>
      <c r="E9" t="s">
        <v>53</v>
      </c>
    </row>
    <row r="10" spans="1:8" x14ac:dyDescent="0.4">
      <c r="A10" t="s">
        <v>21</v>
      </c>
      <c r="B10" t="s">
        <v>56</v>
      </c>
      <c r="C10" t="s">
        <v>52</v>
      </c>
      <c r="E10" t="s">
        <v>53</v>
      </c>
    </row>
    <row r="11" spans="1:8" x14ac:dyDescent="0.4">
      <c r="A11" t="s">
        <v>23</v>
      </c>
      <c r="B11" t="s">
        <v>56</v>
      </c>
      <c r="C11" t="s">
        <v>52</v>
      </c>
      <c r="E11" t="s">
        <v>53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7"/>
  <sheetViews>
    <sheetView workbookViewId="0"/>
  </sheetViews>
  <sheetFormatPr defaultRowHeight="17.399999999999999" x14ac:dyDescent="0.4"/>
  <sheetData>
    <row r="1" spans="1:8" x14ac:dyDescent="0.4">
      <c r="A1" t="s">
        <v>61</v>
      </c>
      <c r="B1" t="s">
        <v>62</v>
      </c>
      <c r="G1" t="s">
        <v>63</v>
      </c>
      <c r="H1" t="s">
        <v>64</v>
      </c>
    </row>
    <row r="2" spans="1:8" x14ac:dyDescent="0.4"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8" x14ac:dyDescent="0.4">
      <c r="B3" t="s">
        <v>70</v>
      </c>
      <c r="C3" t="s">
        <v>71</v>
      </c>
      <c r="D3" t="s">
        <v>71</v>
      </c>
      <c r="E3" t="s">
        <v>72</v>
      </c>
      <c r="F3" t="s">
        <v>73</v>
      </c>
      <c r="G3" t="s">
        <v>56</v>
      </c>
    </row>
    <row r="4" spans="1:8" x14ac:dyDescent="0.4">
      <c r="B4" t="s">
        <v>72</v>
      </c>
      <c r="C4" t="s">
        <v>70</v>
      </c>
      <c r="D4" t="s">
        <v>71</v>
      </c>
      <c r="E4" t="s">
        <v>71</v>
      </c>
      <c r="G4" t="s">
        <v>74</v>
      </c>
    </row>
    <row r="5" spans="1:8" x14ac:dyDescent="0.4">
      <c r="B5" t="s">
        <v>71</v>
      </c>
      <c r="C5" t="s">
        <v>75</v>
      </c>
      <c r="D5" t="s">
        <v>76</v>
      </c>
      <c r="E5" t="s">
        <v>70</v>
      </c>
      <c r="G5" t="s">
        <v>56</v>
      </c>
    </row>
    <row r="6" spans="1:8" x14ac:dyDescent="0.4">
      <c r="B6" t="s">
        <v>71</v>
      </c>
      <c r="C6" t="s">
        <v>71</v>
      </c>
      <c r="D6" t="s">
        <v>71</v>
      </c>
      <c r="E6" t="s">
        <v>71</v>
      </c>
      <c r="G6" t="s">
        <v>56</v>
      </c>
    </row>
    <row r="7" spans="1:8" x14ac:dyDescent="0.4">
      <c r="B7" t="s">
        <v>77</v>
      </c>
      <c r="G7" t="s">
        <v>56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"/>
  <sheetViews>
    <sheetView workbookViewId="0"/>
  </sheetViews>
  <sheetFormatPr defaultRowHeight="17.399999999999999" x14ac:dyDescent="0.4"/>
  <sheetData>
    <row r="1" spans="1:10" x14ac:dyDescent="0.4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</row>
    <row r="2" spans="1:10" x14ac:dyDescent="0.4"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sheetData>
    <row r="1" spans="1:10" x14ac:dyDescent="0.4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</row>
    <row r="2" spans="1:10" x14ac:dyDescent="0.4"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4"/>
  <sheetViews>
    <sheetView workbookViewId="0"/>
  </sheetViews>
  <sheetFormatPr defaultRowHeight="17.399999999999999" x14ac:dyDescent="0.4"/>
  <sheetData>
    <row r="1" spans="1:7" x14ac:dyDescent="0.4">
      <c r="A1" t="s">
        <v>40</v>
      </c>
      <c r="B1" t="s">
        <v>104</v>
      </c>
      <c r="C1" t="s">
        <v>65</v>
      </c>
      <c r="D1" t="s">
        <v>66</v>
      </c>
      <c r="E1" t="s">
        <v>105</v>
      </c>
      <c r="F1" t="s">
        <v>106</v>
      </c>
    </row>
    <row r="2" spans="1:7" x14ac:dyDescent="0.4">
      <c r="C2" t="s">
        <v>107</v>
      </c>
      <c r="D2" t="s">
        <v>108</v>
      </c>
      <c r="F2" t="s">
        <v>109</v>
      </c>
      <c r="G2" t="s">
        <v>110</v>
      </c>
    </row>
    <row r="3" spans="1:7" x14ac:dyDescent="0.4">
      <c r="C3" t="s">
        <v>111</v>
      </c>
      <c r="D3" t="s">
        <v>89</v>
      </c>
      <c r="F3" t="s">
        <v>93</v>
      </c>
    </row>
    <row r="4" spans="1:7" x14ac:dyDescent="0.4">
      <c r="B4" t="s">
        <v>80</v>
      </c>
      <c r="C4" t="s">
        <v>80</v>
      </c>
      <c r="D4" t="s">
        <v>80</v>
      </c>
      <c r="E4" t="s">
        <v>79</v>
      </c>
      <c r="F4" t="s">
        <v>82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3"/>
  <sheetViews>
    <sheetView workbookViewId="0"/>
  </sheetViews>
  <sheetFormatPr defaultRowHeight="17.399999999999999" x14ac:dyDescent="0.4"/>
  <sheetData>
    <row r="1" spans="1:8" x14ac:dyDescent="0.4">
      <c r="A1" t="s">
        <v>40</v>
      </c>
      <c r="B1" t="s">
        <v>5</v>
      </c>
      <c r="C1" t="s">
        <v>43</v>
      </c>
      <c r="D1" t="s">
        <v>112</v>
      </c>
      <c r="E1" t="s">
        <v>113</v>
      </c>
      <c r="F1" t="s">
        <v>114</v>
      </c>
      <c r="H1" t="s">
        <v>115</v>
      </c>
    </row>
    <row r="2" spans="1:8" x14ac:dyDescent="0.4">
      <c r="F2" t="s">
        <v>116</v>
      </c>
      <c r="G2" t="s">
        <v>117</v>
      </c>
    </row>
    <row r="3" spans="1:8" x14ac:dyDescent="0.4">
      <c r="A3" t="s">
        <v>118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124</v>
      </c>
      <c r="H3" t="s">
        <v>125</v>
      </c>
    </row>
    <row r="4" spans="1:8" x14ac:dyDescent="0.4">
      <c r="B4" t="s">
        <v>126</v>
      </c>
      <c r="C4" t="s">
        <v>87</v>
      </c>
      <c r="D4" t="s">
        <v>127</v>
      </c>
      <c r="E4" t="s">
        <v>128</v>
      </c>
      <c r="F4" t="s">
        <v>129</v>
      </c>
      <c r="G4" t="s">
        <v>124</v>
      </c>
      <c r="H4" t="s">
        <v>130</v>
      </c>
    </row>
    <row r="5" spans="1:8" x14ac:dyDescent="0.4">
      <c r="B5" t="s">
        <v>131</v>
      </c>
      <c r="C5" t="s">
        <v>83</v>
      </c>
      <c r="D5" t="s">
        <v>132</v>
      </c>
      <c r="E5" t="s">
        <v>82</v>
      </c>
      <c r="F5" t="s">
        <v>133</v>
      </c>
      <c r="G5" t="s">
        <v>124</v>
      </c>
      <c r="H5" t="s">
        <v>134</v>
      </c>
    </row>
    <row r="6" spans="1:8" x14ac:dyDescent="0.4">
      <c r="B6" t="s">
        <v>135</v>
      </c>
      <c r="C6" t="s">
        <v>136</v>
      </c>
      <c r="D6" t="s">
        <v>137</v>
      </c>
      <c r="E6" t="s">
        <v>138</v>
      </c>
      <c r="F6" t="s">
        <v>139</v>
      </c>
      <c r="G6" t="s">
        <v>124</v>
      </c>
      <c r="H6" t="s">
        <v>140</v>
      </c>
    </row>
    <row r="7" spans="1:8" x14ac:dyDescent="0.4">
      <c r="B7" t="s">
        <v>141</v>
      </c>
      <c r="C7" t="s">
        <v>85</v>
      </c>
      <c r="D7" t="s">
        <v>142</v>
      </c>
      <c r="E7" t="s">
        <v>83</v>
      </c>
      <c r="F7" t="s">
        <v>143</v>
      </c>
      <c r="G7" t="s">
        <v>124</v>
      </c>
      <c r="H7" t="s">
        <v>144</v>
      </c>
    </row>
    <row r="8" spans="1:8" x14ac:dyDescent="0.4">
      <c r="B8" t="s">
        <v>145</v>
      </c>
      <c r="C8" t="s">
        <v>84</v>
      </c>
      <c r="D8" t="s">
        <v>146</v>
      </c>
      <c r="E8" t="s">
        <v>86</v>
      </c>
      <c r="F8" t="s">
        <v>147</v>
      </c>
      <c r="G8" t="s">
        <v>124</v>
      </c>
      <c r="H8" t="s">
        <v>148</v>
      </c>
    </row>
    <row r="9" spans="1:8" x14ac:dyDescent="0.4">
      <c r="B9" t="s">
        <v>149</v>
      </c>
      <c r="C9" t="s">
        <v>85</v>
      </c>
      <c r="D9" t="s">
        <v>150</v>
      </c>
      <c r="E9" t="s">
        <v>96</v>
      </c>
      <c r="F9" t="s">
        <v>151</v>
      </c>
      <c r="G9" t="s">
        <v>124</v>
      </c>
      <c r="H9" t="s">
        <v>144</v>
      </c>
    </row>
    <row r="10" spans="1:8" x14ac:dyDescent="0.4">
      <c r="B10" t="s">
        <v>152</v>
      </c>
      <c r="C10" t="s">
        <v>83</v>
      </c>
      <c r="D10" t="s">
        <v>153</v>
      </c>
      <c r="E10" t="s">
        <v>87</v>
      </c>
      <c r="F10" t="s">
        <v>154</v>
      </c>
      <c r="G10" t="s">
        <v>124</v>
      </c>
      <c r="H10" t="s">
        <v>144</v>
      </c>
    </row>
    <row r="11" spans="1:8" x14ac:dyDescent="0.4">
      <c r="B11" t="s">
        <v>155</v>
      </c>
      <c r="C11" t="s">
        <v>86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</row>
    <row r="12" spans="1:8" x14ac:dyDescent="0.4">
      <c r="B12" t="s">
        <v>161</v>
      </c>
      <c r="C12" t="s">
        <v>96</v>
      </c>
      <c r="D12" t="s">
        <v>162</v>
      </c>
      <c r="E12" t="s">
        <v>157</v>
      </c>
      <c r="F12" t="s">
        <v>163</v>
      </c>
      <c r="G12" t="s">
        <v>159</v>
      </c>
      <c r="H12" t="s">
        <v>164</v>
      </c>
    </row>
    <row r="13" spans="1:8" x14ac:dyDescent="0.4">
      <c r="B13" t="s">
        <v>165</v>
      </c>
      <c r="C13" t="s">
        <v>85</v>
      </c>
      <c r="D13" t="s">
        <v>166</v>
      </c>
      <c r="E13" t="s">
        <v>138</v>
      </c>
      <c r="F13" t="s">
        <v>167</v>
      </c>
      <c r="G13" t="s">
        <v>159</v>
      </c>
      <c r="H13" t="s">
        <v>168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36"/>
  <sheetViews>
    <sheetView workbookViewId="0"/>
  </sheetViews>
  <sheetFormatPr defaultRowHeight="17.399999999999999" x14ac:dyDescent="0.4"/>
  <sheetData>
    <row r="1" spans="1:7" x14ac:dyDescent="0.4">
      <c r="A1" t="s">
        <v>169</v>
      </c>
      <c r="B1" t="s">
        <v>86</v>
      </c>
      <c r="C1" t="s">
        <v>170</v>
      </c>
      <c r="D1" t="s">
        <v>171</v>
      </c>
      <c r="E1" t="s">
        <v>172</v>
      </c>
      <c r="F1" t="s">
        <v>159</v>
      </c>
      <c r="G1" t="s">
        <v>173</v>
      </c>
    </row>
    <row r="2" spans="1:7" x14ac:dyDescent="0.4">
      <c r="A2" t="s">
        <v>174</v>
      </c>
      <c r="B2" t="s">
        <v>86</v>
      </c>
      <c r="C2" t="s">
        <v>137</v>
      </c>
      <c r="D2" t="s">
        <v>138</v>
      </c>
      <c r="E2" t="s">
        <v>175</v>
      </c>
      <c r="F2" t="s">
        <v>124</v>
      </c>
      <c r="G2" t="s">
        <v>176</v>
      </c>
    </row>
    <row r="3" spans="1:7" x14ac:dyDescent="0.4">
      <c r="A3" t="s">
        <v>177</v>
      </c>
      <c r="B3" t="s">
        <v>85</v>
      </c>
      <c r="C3" t="s">
        <v>178</v>
      </c>
      <c r="D3" t="s">
        <v>85</v>
      </c>
      <c r="E3" t="s">
        <v>179</v>
      </c>
      <c r="F3" t="s">
        <v>124</v>
      </c>
      <c r="G3" t="s">
        <v>180</v>
      </c>
    </row>
    <row r="4" spans="1:7" x14ac:dyDescent="0.4">
      <c r="A4" t="s">
        <v>181</v>
      </c>
      <c r="B4" t="s">
        <v>85</v>
      </c>
      <c r="C4" t="s">
        <v>182</v>
      </c>
      <c r="D4" t="s">
        <v>87</v>
      </c>
      <c r="E4" t="s">
        <v>183</v>
      </c>
      <c r="F4" t="s">
        <v>124</v>
      </c>
      <c r="G4" t="s">
        <v>184</v>
      </c>
    </row>
    <row r="5" spans="1:7" x14ac:dyDescent="0.4">
      <c r="A5" t="s">
        <v>185</v>
      </c>
      <c r="B5" t="s">
        <v>186</v>
      </c>
      <c r="C5" t="s">
        <v>187</v>
      </c>
      <c r="D5" t="s">
        <v>171</v>
      </c>
      <c r="E5" t="s">
        <v>188</v>
      </c>
      <c r="F5" t="s">
        <v>124</v>
      </c>
      <c r="G5" t="s">
        <v>189</v>
      </c>
    </row>
    <row r="6" spans="1:7" x14ac:dyDescent="0.4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124</v>
      </c>
      <c r="G6" t="s">
        <v>195</v>
      </c>
    </row>
    <row r="7" spans="1:7" x14ac:dyDescent="0.4">
      <c r="A7" t="s">
        <v>196</v>
      </c>
      <c r="B7" t="s">
        <v>197</v>
      </c>
      <c r="C7" t="s">
        <v>198</v>
      </c>
      <c r="D7" t="s">
        <v>171</v>
      </c>
      <c r="E7" t="s">
        <v>199</v>
      </c>
      <c r="F7" t="s">
        <v>124</v>
      </c>
      <c r="G7" t="s">
        <v>200</v>
      </c>
    </row>
    <row r="8" spans="1:7" x14ac:dyDescent="0.4">
      <c r="A8" t="s">
        <v>201</v>
      </c>
      <c r="B8" t="s">
        <v>202</v>
      </c>
      <c r="C8" t="s">
        <v>203</v>
      </c>
      <c r="D8" t="s">
        <v>204</v>
      </c>
      <c r="E8" t="s">
        <v>179</v>
      </c>
      <c r="F8" t="s">
        <v>124</v>
      </c>
      <c r="G8" t="s">
        <v>205</v>
      </c>
    </row>
    <row r="9" spans="1:7" x14ac:dyDescent="0.4">
      <c r="A9" t="s">
        <v>206</v>
      </c>
      <c r="B9" t="s">
        <v>197</v>
      </c>
      <c r="C9" t="s">
        <v>207</v>
      </c>
      <c r="D9" t="s">
        <v>208</v>
      </c>
      <c r="E9" t="s">
        <v>209</v>
      </c>
      <c r="F9" t="s">
        <v>124</v>
      </c>
      <c r="G9" t="s">
        <v>210</v>
      </c>
    </row>
    <row r="10" spans="1:7" x14ac:dyDescent="0.4">
      <c r="A10" t="s">
        <v>211</v>
      </c>
      <c r="B10" t="s">
        <v>202</v>
      </c>
      <c r="C10" t="s">
        <v>212</v>
      </c>
      <c r="D10" t="s">
        <v>213</v>
      </c>
      <c r="E10" t="s">
        <v>214</v>
      </c>
      <c r="F10" t="s">
        <v>124</v>
      </c>
      <c r="G10" t="s">
        <v>215</v>
      </c>
    </row>
    <row r="11" spans="1:7" x14ac:dyDescent="0.4">
      <c r="A11" t="s">
        <v>216</v>
      </c>
      <c r="B11" t="s">
        <v>86</v>
      </c>
      <c r="C11" t="s">
        <v>217</v>
      </c>
      <c r="D11" t="s">
        <v>83</v>
      </c>
      <c r="E11" t="s">
        <v>218</v>
      </c>
      <c r="F11" t="s">
        <v>124</v>
      </c>
      <c r="G11" t="s">
        <v>219</v>
      </c>
    </row>
    <row r="12" spans="1:7" x14ac:dyDescent="0.4">
      <c r="A12" t="s">
        <v>220</v>
      </c>
      <c r="B12" t="s">
        <v>128</v>
      </c>
      <c r="C12" t="s">
        <v>221</v>
      </c>
      <c r="D12" t="s">
        <v>204</v>
      </c>
      <c r="E12" t="s">
        <v>222</v>
      </c>
      <c r="F12" t="s">
        <v>124</v>
      </c>
      <c r="G12" t="s">
        <v>223</v>
      </c>
    </row>
    <row r="13" spans="1:7" x14ac:dyDescent="0.4">
      <c r="A13" t="s">
        <v>224</v>
      </c>
      <c r="B13" t="s">
        <v>87</v>
      </c>
      <c r="C13" t="s">
        <v>225</v>
      </c>
      <c r="D13" t="s">
        <v>85</v>
      </c>
      <c r="E13" t="s">
        <v>226</v>
      </c>
      <c r="F13" t="s">
        <v>227</v>
      </c>
      <c r="G13" t="s">
        <v>228</v>
      </c>
    </row>
    <row r="14" spans="1:7" x14ac:dyDescent="0.4">
      <c r="A14" t="s">
        <v>229</v>
      </c>
      <c r="B14" t="s">
        <v>86</v>
      </c>
      <c r="C14" t="s">
        <v>230</v>
      </c>
      <c r="D14" t="s">
        <v>231</v>
      </c>
      <c r="E14" t="s">
        <v>232</v>
      </c>
      <c r="F14" t="s">
        <v>124</v>
      </c>
      <c r="G14" t="s">
        <v>205</v>
      </c>
    </row>
    <row r="15" spans="1:7" x14ac:dyDescent="0.4">
      <c r="A15" t="s">
        <v>233</v>
      </c>
      <c r="B15" t="s">
        <v>85</v>
      </c>
      <c r="C15" t="s">
        <v>234</v>
      </c>
      <c r="D15" t="s">
        <v>87</v>
      </c>
      <c r="E15" t="s">
        <v>235</v>
      </c>
      <c r="F15" t="s">
        <v>124</v>
      </c>
      <c r="G15" t="s">
        <v>236</v>
      </c>
    </row>
    <row r="16" spans="1:7" x14ac:dyDescent="0.4">
      <c r="A16" t="s">
        <v>237</v>
      </c>
      <c r="B16" t="s">
        <v>81</v>
      </c>
      <c r="C16" t="s">
        <v>238</v>
      </c>
      <c r="D16" t="s">
        <v>81</v>
      </c>
      <c r="E16" t="s">
        <v>239</v>
      </c>
      <c r="F16" t="s">
        <v>124</v>
      </c>
      <c r="G16" t="s">
        <v>228</v>
      </c>
    </row>
    <row r="17" spans="1:7" x14ac:dyDescent="0.4">
      <c r="A17" t="s">
        <v>240</v>
      </c>
      <c r="B17" t="s">
        <v>80</v>
      </c>
      <c r="C17" t="s">
        <v>241</v>
      </c>
      <c r="D17" t="s">
        <v>81</v>
      </c>
      <c r="F17" t="s">
        <v>124</v>
      </c>
    </row>
    <row r="18" spans="1:7" x14ac:dyDescent="0.4">
      <c r="A18" t="s">
        <v>242</v>
      </c>
      <c r="B18" t="s">
        <v>79</v>
      </c>
      <c r="C18" t="s">
        <v>243</v>
      </c>
      <c r="D18" t="s">
        <v>79</v>
      </c>
      <c r="F18" t="s">
        <v>124</v>
      </c>
    </row>
    <row r="19" spans="1:7" x14ac:dyDescent="0.4">
      <c r="A19" t="s">
        <v>244</v>
      </c>
      <c r="B19" t="s">
        <v>85</v>
      </c>
      <c r="C19" t="s">
        <v>245</v>
      </c>
      <c r="D19" t="s">
        <v>86</v>
      </c>
      <c r="E19" t="s">
        <v>246</v>
      </c>
      <c r="F19" t="s">
        <v>124</v>
      </c>
      <c r="G19" t="s">
        <v>247</v>
      </c>
    </row>
    <row r="20" spans="1:7" x14ac:dyDescent="0.4">
      <c r="A20" t="s">
        <v>206</v>
      </c>
      <c r="B20" t="s">
        <v>213</v>
      </c>
      <c r="C20" t="s">
        <v>248</v>
      </c>
      <c r="D20" t="s">
        <v>96</v>
      </c>
      <c r="E20" t="s">
        <v>249</v>
      </c>
      <c r="F20" t="s">
        <v>124</v>
      </c>
      <c r="G20" t="s">
        <v>250</v>
      </c>
    </row>
    <row r="21" spans="1:7" x14ac:dyDescent="0.4">
      <c r="A21" t="s">
        <v>211</v>
      </c>
      <c r="B21" t="s">
        <v>213</v>
      </c>
      <c r="C21" t="s">
        <v>251</v>
      </c>
      <c r="D21" t="s">
        <v>82</v>
      </c>
      <c r="E21" t="s">
        <v>252</v>
      </c>
      <c r="F21" t="s">
        <v>124</v>
      </c>
      <c r="G21" t="s">
        <v>215</v>
      </c>
    </row>
    <row r="22" spans="1:7" x14ac:dyDescent="0.4">
      <c r="A22" t="s">
        <v>253</v>
      </c>
      <c r="B22" t="s">
        <v>136</v>
      </c>
      <c r="C22" t="s">
        <v>254</v>
      </c>
      <c r="D22" t="s">
        <v>231</v>
      </c>
      <c r="E22" t="s">
        <v>255</v>
      </c>
      <c r="F22" t="s">
        <v>159</v>
      </c>
      <c r="G22" t="s">
        <v>256</v>
      </c>
    </row>
    <row r="23" spans="1:7" x14ac:dyDescent="0.4">
      <c r="A23" t="s">
        <v>257</v>
      </c>
      <c r="B23" t="s">
        <v>86</v>
      </c>
      <c r="C23" t="s">
        <v>258</v>
      </c>
      <c r="D23" t="s">
        <v>85</v>
      </c>
      <c r="E23" t="s">
        <v>259</v>
      </c>
      <c r="F23" t="s">
        <v>159</v>
      </c>
      <c r="G23" t="s">
        <v>260</v>
      </c>
    </row>
    <row r="24" spans="1:7" x14ac:dyDescent="0.4">
      <c r="A24" t="s">
        <v>261</v>
      </c>
      <c r="B24" t="s">
        <v>86</v>
      </c>
      <c r="C24" t="s">
        <v>262</v>
      </c>
      <c r="D24" t="s">
        <v>96</v>
      </c>
      <c r="E24" t="s">
        <v>263</v>
      </c>
      <c r="F24" t="s">
        <v>159</v>
      </c>
      <c r="G24" t="s">
        <v>144</v>
      </c>
    </row>
    <row r="25" spans="1:7" x14ac:dyDescent="0.4">
      <c r="A25" t="s">
        <v>264</v>
      </c>
      <c r="B25" t="s">
        <v>171</v>
      </c>
      <c r="C25" t="s">
        <v>265</v>
      </c>
      <c r="D25" t="s">
        <v>266</v>
      </c>
      <c r="E25" t="s">
        <v>267</v>
      </c>
      <c r="F25" t="s">
        <v>159</v>
      </c>
      <c r="G25" t="s">
        <v>180</v>
      </c>
    </row>
    <row r="26" spans="1:7" x14ac:dyDescent="0.4">
      <c r="A26" t="s">
        <v>268</v>
      </c>
      <c r="B26" t="s">
        <v>122</v>
      </c>
      <c r="C26" t="s">
        <v>269</v>
      </c>
      <c r="D26" t="s">
        <v>270</v>
      </c>
      <c r="E26" t="s">
        <v>271</v>
      </c>
      <c r="F26" t="s">
        <v>159</v>
      </c>
      <c r="G26" t="s">
        <v>272</v>
      </c>
    </row>
    <row r="27" spans="1:7" x14ac:dyDescent="0.4">
      <c r="A27" t="s">
        <v>273</v>
      </c>
      <c r="B27" t="s">
        <v>186</v>
      </c>
      <c r="C27" t="s">
        <v>274</v>
      </c>
      <c r="D27" t="s">
        <v>275</v>
      </c>
      <c r="E27" t="s">
        <v>276</v>
      </c>
      <c r="F27" t="s">
        <v>159</v>
      </c>
      <c r="G27" t="s">
        <v>277</v>
      </c>
    </row>
    <row r="28" spans="1:7" x14ac:dyDescent="0.4">
      <c r="A28" t="s">
        <v>278</v>
      </c>
      <c r="B28" t="s">
        <v>213</v>
      </c>
      <c r="C28" t="s">
        <v>248</v>
      </c>
      <c r="D28" t="s">
        <v>197</v>
      </c>
      <c r="E28" t="s">
        <v>279</v>
      </c>
      <c r="F28" t="s">
        <v>159</v>
      </c>
      <c r="G28" t="s">
        <v>223</v>
      </c>
    </row>
    <row r="29" spans="1:7" x14ac:dyDescent="0.4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159</v>
      </c>
      <c r="G29" t="s">
        <v>285</v>
      </c>
    </row>
    <row r="30" spans="1:7" x14ac:dyDescent="0.4">
      <c r="A30" t="s">
        <v>286</v>
      </c>
      <c r="B30" t="s">
        <v>86</v>
      </c>
      <c r="C30" t="s">
        <v>287</v>
      </c>
      <c r="D30" t="s">
        <v>202</v>
      </c>
      <c r="E30" t="s">
        <v>288</v>
      </c>
      <c r="F30" t="s">
        <v>159</v>
      </c>
      <c r="G30" t="s">
        <v>144</v>
      </c>
    </row>
    <row r="31" spans="1:7" x14ac:dyDescent="0.4">
      <c r="A31" t="s">
        <v>289</v>
      </c>
      <c r="B31" t="s">
        <v>204</v>
      </c>
      <c r="C31" t="s">
        <v>290</v>
      </c>
      <c r="D31" t="s">
        <v>291</v>
      </c>
      <c r="E31" t="s">
        <v>292</v>
      </c>
      <c r="F31" t="s">
        <v>159</v>
      </c>
      <c r="G31" t="s">
        <v>293</v>
      </c>
    </row>
    <row r="32" spans="1:7" x14ac:dyDescent="0.4">
      <c r="A32" t="s">
        <v>294</v>
      </c>
      <c r="B32" t="s">
        <v>202</v>
      </c>
      <c r="C32" t="s">
        <v>295</v>
      </c>
      <c r="D32" t="s">
        <v>296</v>
      </c>
      <c r="E32" t="s">
        <v>297</v>
      </c>
      <c r="F32" t="s">
        <v>159</v>
      </c>
      <c r="G32" t="s">
        <v>298</v>
      </c>
    </row>
    <row r="33" spans="1:7" x14ac:dyDescent="0.4">
      <c r="A33" t="s">
        <v>299</v>
      </c>
      <c r="B33" t="s">
        <v>213</v>
      </c>
      <c r="C33" t="s">
        <v>300</v>
      </c>
      <c r="D33" t="s">
        <v>301</v>
      </c>
      <c r="E33" t="s">
        <v>302</v>
      </c>
      <c r="F33" t="s">
        <v>159</v>
      </c>
      <c r="G33" t="s">
        <v>303</v>
      </c>
    </row>
    <row r="34" spans="1:7" x14ac:dyDescent="0.4">
      <c r="A34" t="s">
        <v>304</v>
      </c>
      <c r="B34" t="s">
        <v>96</v>
      </c>
      <c r="C34" t="s">
        <v>305</v>
      </c>
      <c r="D34" t="s">
        <v>86</v>
      </c>
      <c r="E34" t="s">
        <v>306</v>
      </c>
      <c r="F34" t="s">
        <v>159</v>
      </c>
      <c r="G34" t="s">
        <v>307</v>
      </c>
    </row>
    <row r="35" spans="1:7" x14ac:dyDescent="0.4">
      <c r="A35" t="s">
        <v>308</v>
      </c>
      <c r="B35" t="s">
        <v>138</v>
      </c>
      <c r="C35" t="s">
        <v>309</v>
      </c>
      <c r="D35" t="s">
        <v>186</v>
      </c>
      <c r="E35" t="s">
        <v>310</v>
      </c>
      <c r="F35" t="s">
        <v>159</v>
      </c>
      <c r="G35" t="s">
        <v>311</v>
      </c>
    </row>
    <row r="36" spans="1:7" x14ac:dyDescent="0.4">
      <c r="A36" t="s">
        <v>312</v>
      </c>
      <c r="B36" t="s">
        <v>87</v>
      </c>
      <c r="C36" t="s">
        <v>313</v>
      </c>
      <c r="D36" t="s">
        <v>96</v>
      </c>
      <c r="E36" t="s">
        <v>314</v>
      </c>
      <c r="F36" t="s">
        <v>159</v>
      </c>
      <c r="G36" t="s">
        <v>315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20"/>
  <sheetViews>
    <sheetView workbookViewId="0"/>
  </sheetViews>
  <sheetFormatPr defaultRowHeight="17.399999999999999" x14ac:dyDescent="0.4"/>
  <sheetData>
    <row r="1" spans="1:7" x14ac:dyDescent="0.4">
      <c r="A1" t="s">
        <v>316</v>
      </c>
      <c r="B1" t="s">
        <v>87</v>
      </c>
      <c r="C1" t="s">
        <v>317</v>
      </c>
      <c r="D1" t="s">
        <v>157</v>
      </c>
      <c r="E1" t="s">
        <v>318</v>
      </c>
      <c r="F1" t="s">
        <v>124</v>
      </c>
      <c r="G1" t="s">
        <v>272</v>
      </c>
    </row>
    <row r="2" spans="1:7" x14ac:dyDescent="0.4">
      <c r="A2" t="s">
        <v>319</v>
      </c>
      <c r="B2" t="s">
        <v>136</v>
      </c>
      <c r="C2" t="s">
        <v>170</v>
      </c>
      <c r="D2" t="s">
        <v>320</v>
      </c>
      <c r="E2" t="s">
        <v>321</v>
      </c>
      <c r="F2" t="s">
        <v>124</v>
      </c>
      <c r="G2" t="s">
        <v>176</v>
      </c>
    </row>
    <row r="3" spans="1:7" x14ac:dyDescent="0.4">
      <c r="A3" t="s">
        <v>322</v>
      </c>
      <c r="B3" t="s">
        <v>96</v>
      </c>
      <c r="C3" t="s">
        <v>323</v>
      </c>
      <c r="D3" t="s">
        <v>231</v>
      </c>
      <c r="E3" t="s">
        <v>324</v>
      </c>
      <c r="F3" t="s">
        <v>124</v>
      </c>
      <c r="G3" t="s">
        <v>325</v>
      </c>
    </row>
    <row r="4" spans="1:7" x14ac:dyDescent="0.4">
      <c r="A4" t="s">
        <v>326</v>
      </c>
      <c r="B4" t="s">
        <v>87</v>
      </c>
      <c r="C4" t="s">
        <v>327</v>
      </c>
      <c r="D4" t="s">
        <v>213</v>
      </c>
      <c r="E4" t="s">
        <v>328</v>
      </c>
      <c r="F4" t="s">
        <v>124</v>
      </c>
      <c r="G4" t="s">
        <v>236</v>
      </c>
    </row>
    <row r="5" spans="1:7" x14ac:dyDescent="0.4">
      <c r="A5" t="s">
        <v>329</v>
      </c>
      <c r="B5" t="s">
        <v>83</v>
      </c>
      <c r="C5" t="s">
        <v>330</v>
      </c>
      <c r="D5" t="s">
        <v>83</v>
      </c>
      <c r="E5" t="s">
        <v>331</v>
      </c>
      <c r="F5" t="s">
        <v>124</v>
      </c>
      <c r="G5" t="s">
        <v>223</v>
      </c>
    </row>
    <row r="6" spans="1:7" x14ac:dyDescent="0.4">
      <c r="A6" t="s">
        <v>332</v>
      </c>
      <c r="B6" t="s">
        <v>84</v>
      </c>
      <c r="C6" t="s">
        <v>146</v>
      </c>
      <c r="D6" t="s">
        <v>86</v>
      </c>
      <c r="E6" t="s">
        <v>263</v>
      </c>
      <c r="F6" t="s">
        <v>124</v>
      </c>
      <c r="G6" t="s">
        <v>333</v>
      </c>
    </row>
    <row r="7" spans="1:7" x14ac:dyDescent="0.4">
      <c r="A7" t="s">
        <v>334</v>
      </c>
      <c r="B7" t="s">
        <v>85</v>
      </c>
      <c r="C7" t="s">
        <v>335</v>
      </c>
      <c r="D7" t="s">
        <v>336</v>
      </c>
      <c r="E7" t="s">
        <v>337</v>
      </c>
      <c r="F7" t="s">
        <v>124</v>
      </c>
      <c r="G7" t="s">
        <v>219</v>
      </c>
    </row>
    <row r="8" spans="1:7" x14ac:dyDescent="0.4">
      <c r="A8" t="s">
        <v>338</v>
      </c>
      <c r="B8" t="s">
        <v>86</v>
      </c>
      <c r="C8" t="s">
        <v>339</v>
      </c>
      <c r="D8" t="s">
        <v>96</v>
      </c>
      <c r="E8" t="s">
        <v>340</v>
      </c>
      <c r="F8" t="s">
        <v>124</v>
      </c>
      <c r="G8" t="s">
        <v>315</v>
      </c>
    </row>
    <row r="9" spans="1:7" x14ac:dyDescent="0.4">
      <c r="A9" t="s">
        <v>341</v>
      </c>
      <c r="B9" t="s">
        <v>342</v>
      </c>
      <c r="C9" t="s">
        <v>323</v>
      </c>
      <c r="D9" t="s">
        <v>138</v>
      </c>
      <c r="E9" t="s">
        <v>343</v>
      </c>
      <c r="F9" t="s">
        <v>159</v>
      </c>
      <c r="G9" t="s">
        <v>344</v>
      </c>
    </row>
    <row r="10" spans="1:7" x14ac:dyDescent="0.4">
      <c r="A10" t="s">
        <v>345</v>
      </c>
      <c r="B10" t="s">
        <v>83</v>
      </c>
      <c r="C10" t="s">
        <v>346</v>
      </c>
      <c r="D10" t="s">
        <v>204</v>
      </c>
      <c r="E10" t="s">
        <v>347</v>
      </c>
      <c r="F10" t="s">
        <v>159</v>
      </c>
      <c r="G10" t="s">
        <v>348</v>
      </c>
    </row>
    <row r="11" spans="1:7" x14ac:dyDescent="0.4">
      <c r="A11" t="s">
        <v>349</v>
      </c>
      <c r="B11" t="s">
        <v>84</v>
      </c>
      <c r="C11" t="s">
        <v>146</v>
      </c>
      <c r="D11" t="s">
        <v>96</v>
      </c>
      <c r="E11" t="s">
        <v>350</v>
      </c>
      <c r="F11" t="s">
        <v>124</v>
      </c>
      <c r="G11" t="s">
        <v>351</v>
      </c>
    </row>
    <row r="12" spans="1:7" x14ac:dyDescent="0.4">
      <c r="A12" t="s">
        <v>352</v>
      </c>
      <c r="B12" t="s">
        <v>84</v>
      </c>
      <c r="C12" t="s">
        <v>353</v>
      </c>
      <c r="D12" t="s">
        <v>354</v>
      </c>
      <c r="E12" t="s">
        <v>355</v>
      </c>
      <c r="F12" t="s">
        <v>124</v>
      </c>
      <c r="G12" t="s">
        <v>356</v>
      </c>
    </row>
    <row r="13" spans="1:7" x14ac:dyDescent="0.4">
      <c r="A13" t="s">
        <v>357</v>
      </c>
      <c r="B13" t="s">
        <v>342</v>
      </c>
      <c r="C13" t="s">
        <v>358</v>
      </c>
      <c r="D13" t="s">
        <v>359</v>
      </c>
      <c r="E13" t="s">
        <v>360</v>
      </c>
      <c r="F13" t="s">
        <v>124</v>
      </c>
      <c r="G13" t="s">
        <v>361</v>
      </c>
    </row>
    <row r="14" spans="1:7" x14ac:dyDescent="0.4">
      <c r="A14" t="s">
        <v>362</v>
      </c>
      <c r="B14" t="s">
        <v>84</v>
      </c>
      <c r="C14" t="s">
        <v>363</v>
      </c>
      <c r="D14" t="s">
        <v>354</v>
      </c>
      <c r="E14" t="s">
        <v>364</v>
      </c>
      <c r="F14" t="s">
        <v>124</v>
      </c>
      <c r="G14" t="s">
        <v>365</v>
      </c>
    </row>
    <row r="15" spans="1:7" x14ac:dyDescent="0.4">
      <c r="A15" t="s">
        <v>366</v>
      </c>
      <c r="B15" t="s">
        <v>85</v>
      </c>
      <c r="C15" t="s">
        <v>367</v>
      </c>
      <c r="D15" t="s">
        <v>96</v>
      </c>
      <c r="E15" t="s">
        <v>350</v>
      </c>
      <c r="F15" t="s">
        <v>124</v>
      </c>
      <c r="G15" t="s">
        <v>351</v>
      </c>
    </row>
    <row r="16" spans="1:7" x14ac:dyDescent="0.4">
      <c r="A16" t="s">
        <v>368</v>
      </c>
      <c r="B16" t="s">
        <v>84</v>
      </c>
      <c r="C16" t="s">
        <v>363</v>
      </c>
      <c r="D16" t="s">
        <v>369</v>
      </c>
      <c r="E16" t="s">
        <v>370</v>
      </c>
      <c r="F16" t="s">
        <v>159</v>
      </c>
      <c r="G16" t="s">
        <v>256</v>
      </c>
    </row>
    <row r="17" spans="1:7" x14ac:dyDescent="0.4">
      <c r="A17" t="s">
        <v>371</v>
      </c>
      <c r="B17" t="s">
        <v>84</v>
      </c>
      <c r="C17" t="s">
        <v>358</v>
      </c>
      <c r="D17" t="s">
        <v>342</v>
      </c>
      <c r="E17" t="s">
        <v>372</v>
      </c>
      <c r="F17" t="s">
        <v>124</v>
      </c>
      <c r="G17" t="s">
        <v>298</v>
      </c>
    </row>
    <row r="18" spans="1:7" x14ac:dyDescent="0.4">
      <c r="A18" t="s">
        <v>373</v>
      </c>
      <c r="B18" t="s">
        <v>82</v>
      </c>
      <c r="C18" t="s">
        <v>305</v>
      </c>
      <c r="D18" t="s">
        <v>87</v>
      </c>
      <c r="E18" t="s">
        <v>374</v>
      </c>
      <c r="F18" t="s">
        <v>124</v>
      </c>
      <c r="G18" t="s">
        <v>375</v>
      </c>
    </row>
    <row r="19" spans="1:7" x14ac:dyDescent="0.4">
      <c r="A19" t="s">
        <v>376</v>
      </c>
      <c r="B19" t="s">
        <v>87</v>
      </c>
      <c r="C19" t="s">
        <v>137</v>
      </c>
      <c r="D19" t="s">
        <v>186</v>
      </c>
      <c r="E19" t="s">
        <v>377</v>
      </c>
      <c r="F19" t="s">
        <v>124</v>
      </c>
      <c r="G19" t="s">
        <v>272</v>
      </c>
    </row>
    <row r="20" spans="1:7" x14ac:dyDescent="0.4">
      <c r="A20" t="s">
        <v>378</v>
      </c>
      <c r="B20" t="s">
        <v>79</v>
      </c>
      <c r="C20" t="s">
        <v>379</v>
      </c>
      <c r="D20" t="s">
        <v>81</v>
      </c>
      <c r="F20" t="s">
        <v>124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4"/>
  <sheetViews>
    <sheetView workbookViewId="0"/>
  </sheetViews>
  <sheetFormatPr defaultRowHeight="17.399999999999999" x14ac:dyDescent="0.4"/>
  <sheetData>
    <row r="1" spans="1:8" x14ac:dyDescent="0.4">
      <c r="A1" t="s">
        <v>40</v>
      </c>
      <c r="B1" t="s">
        <v>5</v>
      </c>
      <c r="C1" t="s">
        <v>43</v>
      </c>
      <c r="D1" t="s">
        <v>112</v>
      </c>
      <c r="E1" t="s">
        <v>113</v>
      </c>
      <c r="F1" t="s">
        <v>114</v>
      </c>
      <c r="H1" t="s">
        <v>115</v>
      </c>
    </row>
    <row r="2" spans="1:8" x14ac:dyDescent="0.4">
      <c r="F2" t="s">
        <v>116</v>
      </c>
      <c r="G2" t="s">
        <v>117</v>
      </c>
    </row>
    <row r="3" spans="1:8" x14ac:dyDescent="0.4">
      <c r="A3" t="s">
        <v>380</v>
      </c>
      <c r="B3" t="s">
        <v>206</v>
      </c>
      <c r="C3" t="s">
        <v>213</v>
      </c>
      <c r="D3" t="s">
        <v>248</v>
      </c>
      <c r="E3" t="s">
        <v>96</v>
      </c>
      <c r="F3" t="s">
        <v>249</v>
      </c>
      <c r="G3" t="s">
        <v>381</v>
      </c>
      <c r="H3" t="s">
        <v>250</v>
      </c>
    </row>
    <row r="4" spans="1:8" x14ac:dyDescent="0.4">
      <c r="B4" t="s">
        <v>211</v>
      </c>
      <c r="C4" t="s">
        <v>213</v>
      </c>
      <c r="D4" t="s">
        <v>251</v>
      </c>
      <c r="E4" t="s">
        <v>82</v>
      </c>
      <c r="F4" t="s">
        <v>252</v>
      </c>
      <c r="G4" t="s">
        <v>381</v>
      </c>
      <c r="H4" t="s">
        <v>215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3"/>
  <sheetViews>
    <sheetView workbookViewId="0"/>
  </sheetViews>
  <sheetFormatPr defaultRowHeight="17.399999999999999" x14ac:dyDescent="0.4"/>
  <sheetData>
    <row r="1" spans="1:8" x14ac:dyDescent="0.4">
      <c r="A1" t="s">
        <v>40</v>
      </c>
      <c r="B1" t="s">
        <v>5</v>
      </c>
      <c r="C1" t="s">
        <v>43</v>
      </c>
      <c r="D1" t="s">
        <v>112</v>
      </c>
      <c r="E1" t="s">
        <v>113</v>
      </c>
      <c r="F1" t="s">
        <v>114</v>
      </c>
      <c r="H1" t="s">
        <v>115</v>
      </c>
    </row>
    <row r="2" spans="1:8" x14ac:dyDescent="0.4">
      <c r="F2" t="s">
        <v>116</v>
      </c>
      <c r="G2" t="s">
        <v>117</v>
      </c>
    </row>
    <row r="3" spans="1:8" x14ac:dyDescent="0.4">
      <c r="A3" t="s">
        <v>118</v>
      </c>
      <c r="B3" t="s">
        <v>28</v>
      </c>
      <c r="C3" t="s">
        <v>96</v>
      </c>
      <c r="D3" t="s">
        <v>382</v>
      </c>
      <c r="E3" t="s">
        <v>81</v>
      </c>
      <c r="F3" t="s">
        <v>383</v>
      </c>
      <c r="G3" t="s">
        <v>384</v>
      </c>
      <c r="H3" t="s">
        <v>385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C69"/>
  <sheetViews>
    <sheetView tabSelected="1" topLeftCell="A26" zoomScale="55" zoomScaleNormal="55" workbookViewId="0">
      <selection activeCell="AA36" sqref="AA36"/>
    </sheetView>
  </sheetViews>
  <sheetFormatPr defaultRowHeight="17.399999999999999" x14ac:dyDescent="0.4"/>
  <cols>
    <col min="1" max="1" width="15.3984375" style="5" bestFit="1" customWidth="1"/>
    <col min="2" max="2" width="10.3984375" style="5" bestFit="1" customWidth="1"/>
    <col min="3" max="3" width="6.796875" style="5" bestFit="1" customWidth="1"/>
    <col min="4" max="4" width="12.3984375" style="5" bestFit="1" customWidth="1"/>
    <col min="5" max="5" width="22.19921875" style="5" bestFit="1" customWidth="1"/>
    <col min="6" max="6" width="8.59765625" style="5" bestFit="1" customWidth="1"/>
    <col min="7" max="7" width="6.796875" style="5" bestFit="1" customWidth="1"/>
    <col min="8" max="8" width="8.59765625" style="5" bestFit="1" customWidth="1"/>
    <col min="9" max="10" width="12.796875" style="5" bestFit="1" customWidth="1"/>
    <col min="11" max="11" width="5" style="5" bestFit="1" customWidth="1"/>
    <col min="12" max="13" width="18.09765625" style="5" bestFit="1" customWidth="1"/>
    <col min="14" max="15" width="10.19921875" style="5" bestFit="1" customWidth="1"/>
    <col min="16" max="17" width="11.296875" style="5" bestFit="1" customWidth="1"/>
    <col min="18" max="21" width="10.19921875" style="5" bestFit="1" customWidth="1"/>
    <col min="22" max="23" width="11.296875" style="5" bestFit="1" customWidth="1"/>
    <col min="24" max="25" width="10.19921875" style="5" bestFit="1" customWidth="1"/>
    <col min="26" max="27" width="6" style="5" bestFit="1" customWidth="1"/>
    <col min="28" max="28" width="10.3984375" style="5" bestFit="1" customWidth="1"/>
    <col min="29" max="29" width="32.296875" style="5" bestFit="1" customWidth="1"/>
    <col min="30" max="30" width="16.296875" style="5" bestFit="1" customWidth="1"/>
    <col min="31" max="33" width="5" style="5" bestFit="1" customWidth="1"/>
    <col min="34" max="35" width="4.19921875" style="5" bestFit="1" customWidth="1"/>
    <col min="36" max="36" width="6.796875" style="5" bestFit="1" customWidth="1"/>
    <col min="37" max="37" width="9" style="5" bestFit="1" customWidth="1"/>
    <col min="38" max="38" width="8.59765625" style="5" bestFit="1" customWidth="1"/>
    <col min="39" max="39" width="10.8984375" style="5" bestFit="1" customWidth="1"/>
    <col min="40" max="40" width="10.296875" style="5" bestFit="1" customWidth="1"/>
    <col min="41" max="41" width="10.3984375" style="5" bestFit="1" customWidth="1"/>
    <col min="42" max="42" width="12.796875" style="5" bestFit="1" customWidth="1"/>
    <col min="43" max="44" width="13.3984375" style="5" bestFit="1" customWidth="1"/>
    <col min="45" max="45" width="12.3984375" style="5" bestFit="1" customWidth="1"/>
    <col min="46" max="47" width="9" style="5" bestFit="1" customWidth="1"/>
    <col min="48" max="48" width="8.59765625" style="5" bestFit="1" customWidth="1"/>
    <col min="49" max="49" width="10.8984375" style="5" bestFit="1" customWidth="1"/>
    <col min="50" max="50" width="10.296875" style="5" bestFit="1" customWidth="1"/>
    <col min="51" max="51" width="10.8984375" style="5" bestFit="1" customWidth="1"/>
    <col min="52" max="52" width="10.296875" style="5" bestFit="1" customWidth="1"/>
    <col min="53" max="54" width="9" style="5" bestFit="1" customWidth="1"/>
    <col min="55" max="55" width="10.8984375" style="5" bestFit="1" customWidth="1"/>
    <col min="56" max="56" width="10.296875" style="5" bestFit="1" customWidth="1"/>
    <col min="57" max="59" width="10.3984375" style="5" bestFit="1" customWidth="1"/>
    <col min="60" max="62" width="13.5" style="5" bestFit="1" customWidth="1"/>
    <col min="63" max="63" width="4.3984375" style="5" bestFit="1" customWidth="1"/>
    <col min="64" max="72" width="4.19921875" style="5" bestFit="1" customWidth="1"/>
    <col min="73" max="76" width="4.3984375" style="5" bestFit="1" customWidth="1"/>
    <col min="77" max="77" width="4.19921875" style="5" bestFit="1" customWidth="1"/>
    <col min="78" max="80" width="4.3984375" style="5" bestFit="1" customWidth="1"/>
    <col min="81" max="89" width="7" style="5" bestFit="1" customWidth="1"/>
    <col min="90" max="90" width="6.796875" style="5" bestFit="1" customWidth="1"/>
    <col min="91" max="91" width="8.59765625" style="5" bestFit="1" customWidth="1"/>
    <col min="92" max="92" width="10.3984375" style="5" bestFit="1" customWidth="1"/>
    <col min="93" max="95" width="8.59765625" style="5" bestFit="1" customWidth="1"/>
    <col min="96" max="96" width="7.796875" style="5" bestFit="1" customWidth="1"/>
    <col min="97" max="97" width="9" style="5" bestFit="1" customWidth="1"/>
    <col min="98" max="98" width="4.8984375" style="5" bestFit="1" customWidth="1"/>
    <col min="99" max="99" width="9" style="5" bestFit="1" customWidth="1"/>
    <col min="100" max="100" width="8.3984375" style="5" bestFit="1" customWidth="1"/>
    <col min="101" max="101" width="5" style="5" bestFit="1" customWidth="1"/>
    <col min="102" max="102" width="9" style="5" bestFit="1" customWidth="1"/>
    <col min="103" max="103" width="7.796875" style="5" bestFit="1" customWidth="1"/>
    <col min="104" max="105" width="11.5" style="5" bestFit="1" customWidth="1"/>
    <col min="106" max="106" width="12.3984375" style="5" bestFit="1" customWidth="1"/>
    <col min="107" max="107" width="8.59765625" style="5" bestFit="1" customWidth="1"/>
    <col min="108" max="16384" width="8.796875" style="5"/>
  </cols>
  <sheetData>
    <row r="1" spans="1:107" s="1" customFormat="1" ht="18" customHeight="1" x14ac:dyDescent="0.4">
      <c r="A1" s="2" t="s">
        <v>386</v>
      </c>
      <c r="B1" s="2" t="s">
        <v>387</v>
      </c>
      <c r="C1" s="2" t="s">
        <v>388</v>
      </c>
      <c r="D1" s="2" t="s">
        <v>389</v>
      </c>
      <c r="E1" s="2" t="s">
        <v>390</v>
      </c>
      <c r="F1" s="2" t="s">
        <v>391</v>
      </c>
      <c r="G1" s="2" t="s">
        <v>112</v>
      </c>
      <c r="H1" s="2" t="s">
        <v>392</v>
      </c>
      <c r="I1" s="2" t="s">
        <v>393</v>
      </c>
      <c r="J1" s="2" t="s">
        <v>394</v>
      </c>
      <c r="K1" s="2" t="s">
        <v>395</v>
      </c>
      <c r="L1" s="2" t="s">
        <v>396</v>
      </c>
      <c r="M1" s="2" t="s">
        <v>397</v>
      </c>
      <c r="N1" s="2" t="s">
        <v>398</v>
      </c>
      <c r="O1" s="2" t="s">
        <v>399</v>
      </c>
      <c r="P1" s="2" t="s">
        <v>400</v>
      </c>
      <c r="Q1" s="2" t="s">
        <v>401</v>
      </c>
      <c r="R1" s="2" t="s">
        <v>402</v>
      </c>
      <c r="S1" s="2" t="s">
        <v>403</v>
      </c>
      <c r="T1" s="2" t="s">
        <v>404</v>
      </c>
      <c r="U1" s="2" t="s">
        <v>405</v>
      </c>
      <c r="V1" s="2" t="s">
        <v>406</v>
      </c>
      <c r="W1" s="2" t="s">
        <v>407</v>
      </c>
      <c r="X1" s="2" t="s">
        <v>408</v>
      </c>
      <c r="Y1" s="2" t="s">
        <v>409</v>
      </c>
      <c r="Z1" s="2" t="s">
        <v>410</v>
      </c>
      <c r="AA1" s="2" t="s">
        <v>411</v>
      </c>
      <c r="AB1" s="2" t="s">
        <v>412</v>
      </c>
      <c r="AC1" s="2" t="s">
        <v>413</v>
      </c>
      <c r="AD1" s="2" t="s">
        <v>414</v>
      </c>
      <c r="AE1" s="2" t="s">
        <v>65</v>
      </c>
      <c r="AF1" s="2" t="s">
        <v>66</v>
      </c>
      <c r="AG1" s="2" t="s">
        <v>67</v>
      </c>
      <c r="AH1" s="2" t="s">
        <v>415</v>
      </c>
      <c r="AI1" s="2" t="s">
        <v>416</v>
      </c>
      <c r="AJ1" s="2" t="s">
        <v>69</v>
      </c>
      <c r="AK1" s="2" t="s">
        <v>417</v>
      </c>
      <c r="AL1" s="2" t="s">
        <v>418</v>
      </c>
      <c r="AM1" s="2" t="s">
        <v>419</v>
      </c>
      <c r="AN1" s="2" t="s">
        <v>420</v>
      </c>
      <c r="AO1" s="2" t="s">
        <v>421</v>
      </c>
      <c r="AP1" s="2" t="s">
        <v>422</v>
      </c>
      <c r="AQ1" s="2" t="s">
        <v>423</v>
      </c>
      <c r="AR1" s="2" t="s">
        <v>424</v>
      </c>
      <c r="AS1" s="2" t="s">
        <v>425</v>
      </c>
      <c r="AT1" s="2" t="s">
        <v>426</v>
      </c>
      <c r="AU1" s="2" t="s">
        <v>427</v>
      </c>
      <c r="AV1" s="2" t="s">
        <v>428</v>
      </c>
      <c r="AW1" s="2" t="s">
        <v>429</v>
      </c>
      <c r="AX1" s="2" t="s">
        <v>430</v>
      </c>
      <c r="AY1" s="2" t="s">
        <v>431</v>
      </c>
      <c r="AZ1" s="2" t="s">
        <v>432</v>
      </c>
      <c r="BA1" s="2" t="s">
        <v>433</v>
      </c>
      <c r="BB1" s="2" t="s">
        <v>434</v>
      </c>
      <c r="BC1" s="2" t="s">
        <v>435</v>
      </c>
      <c r="BD1" s="2" t="s">
        <v>436</v>
      </c>
      <c r="BE1" s="2" t="s">
        <v>437</v>
      </c>
      <c r="BF1" s="2" t="s">
        <v>438</v>
      </c>
      <c r="BG1" s="2" t="s">
        <v>439</v>
      </c>
      <c r="BH1" s="2" t="s">
        <v>440</v>
      </c>
      <c r="BI1" s="2" t="s">
        <v>441</v>
      </c>
      <c r="BJ1" s="2" t="s">
        <v>442</v>
      </c>
      <c r="BK1" s="2" t="s">
        <v>443</v>
      </c>
      <c r="BL1" s="2" t="s">
        <v>444</v>
      </c>
      <c r="BM1" s="2" t="s">
        <v>445</v>
      </c>
      <c r="BN1" s="2" t="s">
        <v>446</v>
      </c>
      <c r="BO1" s="2" t="s">
        <v>447</v>
      </c>
      <c r="BP1" s="2" t="s">
        <v>448</v>
      </c>
      <c r="BQ1" s="2" t="s">
        <v>449</v>
      </c>
      <c r="BR1" s="2" t="s">
        <v>450</v>
      </c>
      <c r="BS1" s="2" t="s">
        <v>451</v>
      </c>
      <c r="BT1" s="2" t="s">
        <v>452</v>
      </c>
      <c r="BU1" s="2" t="s">
        <v>453</v>
      </c>
      <c r="BV1" s="2" t="s">
        <v>454</v>
      </c>
      <c r="BW1" s="2" t="s">
        <v>455</v>
      </c>
      <c r="BX1" s="2" t="s">
        <v>456</v>
      </c>
      <c r="BY1" s="2" t="s">
        <v>457</v>
      </c>
      <c r="BZ1" s="2" t="s">
        <v>458</v>
      </c>
      <c r="CA1" s="2" t="s">
        <v>459</v>
      </c>
      <c r="CB1" s="2" t="s">
        <v>460</v>
      </c>
      <c r="CC1" s="2" t="s">
        <v>461</v>
      </c>
      <c r="CD1" s="2" t="s">
        <v>462</v>
      </c>
      <c r="CE1" s="2" t="s">
        <v>463</v>
      </c>
      <c r="CF1" s="2" t="s">
        <v>464</v>
      </c>
      <c r="CG1" s="2" t="s">
        <v>465</v>
      </c>
      <c r="CH1" s="2" t="s">
        <v>466</v>
      </c>
      <c r="CI1" s="2" t="s">
        <v>467</v>
      </c>
      <c r="CJ1" s="2" t="s">
        <v>468</v>
      </c>
      <c r="CK1" s="2" t="s">
        <v>469</v>
      </c>
      <c r="CL1" s="2" t="s">
        <v>470</v>
      </c>
      <c r="CM1" s="2" t="s">
        <v>471</v>
      </c>
      <c r="CN1" s="2" t="s">
        <v>472</v>
      </c>
      <c r="CO1" s="2" t="s">
        <v>473</v>
      </c>
      <c r="CP1" s="2" t="s">
        <v>474</v>
      </c>
      <c r="CQ1" s="2" t="s">
        <v>475</v>
      </c>
      <c r="CR1" s="2" t="s">
        <v>476</v>
      </c>
      <c r="CS1" s="2" t="s">
        <v>477</v>
      </c>
      <c r="CT1" s="2" t="s">
        <v>478</v>
      </c>
      <c r="CU1" s="2" t="s">
        <v>479</v>
      </c>
      <c r="CV1" s="2" t="s">
        <v>480</v>
      </c>
      <c r="CW1" s="2" t="s">
        <v>481</v>
      </c>
      <c r="CX1" s="2" t="s">
        <v>482</v>
      </c>
      <c r="CY1" s="2" t="s">
        <v>483</v>
      </c>
      <c r="CZ1" s="2" t="s">
        <v>484</v>
      </c>
      <c r="DA1" s="2" t="s">
        <v>485</v>
      </c>
      <c r="DB1" s="2" t="s">
        <v>486</v>
      </c>
      <c r="DC1" s="3" t="s">
        <v>487</v>
      </c>
    </row>
    <row r="2" spans="1:107" x14ac:dyDescent="0.4">
      <c r="A2" s="4" t="s">
        <v>492</v>
      </c>
      <c r="B2" s="4" t="s">
        <v>494</v>
      </c>
      <c r="C2" s="4" t="s">
        <v>491</v>
      </c>
      <c r="D2" s="4" t="str">
        <f>D1</f>
        <v>전형명</v>
      </c>
      <c r="E2" s="4" t="s">
        <v>253</v>
      </c>
      <c r="F2" s="4" t="s">
        <v>136</v>
      </c>
      <c r="G2" s="4" t="s">
        <v>254</v>
      </c>
      <c r="H2" s="4" t="s">
        <v>231</v>
      </c>
      <c r="I2" s="4"/>
      <c r="J2" s="4" t="s">
        <v>255</v>
      </c>
      <c r="K2" s="4">
        <v>800</v>
      </c>
      <c r="L2" s="4"/>
      <c r="M2" s="4" t="s">
        <v>256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496</v>
      </c>
      <c r="AD2" s="4"/>
      <c r="AE2" s="4">
        <v>20</v>
      </c>
      <c r="AF2" s="4">
        <v>30</v>
      </c>
      <c r="AG2" s="4">
        <v>25</v>
      </c>
      <c r="AH2" s="4"/>
      <c r="AI2" s="4">
        <v>25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100</v>
      </c>
      <c r="BL2" s="4">
        <v>95</v>
      </c>
      <c r="BM2" s="4">
        <v>90</v>
      </c>
      <c r="BN2" s="4">
        <v>85</v>
      </c>
      <c r="BO2" s="4">
        <v>80</v>
      </c>
      <c r="BP2" s="4">
        <v>75</v>
      </c>
      <c r="BQ2" s="4">
        <v>70</v>
      </c>
      <c r="BR2" s="4">
        <v>65</v>
      </c>
      <c r="BS2" s="4">
        <v>60</v>
      </c>
      <c r="BT2" s="4">
        <v>10</v>
      </c>
      <c r="BU2" s="4">
        <v>9.8000000000000007</v>
      </c>
      <c r="BV2" s="4">
        <v>9.6</v>
      </c>
      <c r="BW2" s="4">
        <v>9.4</v>
      </c>
      <c r="BX2" s="4">
        <v>9.1999999999999993</v>
      </c>
      <c r="BY2" s="4">
        <v>9</v>
      </c>
      <c r="BZ2" s="4">
        <v>8.8000000000000007</v>
      </c>
      <c r="CA2" s="4">
        <v>8.6</v>
      </c>
      <c r="CB2" s="4">
        <v>8.4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497</v>
      </c>
      <c r="CM2" s="4"/>
      <c r="CN2" s="4">
        <v>0.05</v>
      </c>
      <c r="CO2" s="4">
        <v>0.05</v>
      </c>
      <c r="CP2" s="4">
        <v>0.05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492</v>
      </c>
      <c r="B3" s="4" t="s">
        <v>494</v>
      </c>
      <c r="C3" s="4" t="s">
        <v>490</v>
      </c>
      <c r="D3" s="4" t="str">
        <f>D2</f>
        <v>전형명</v>
      </c>
      <c r="E3" s="4" t="s">
        <v>264</v>
      </c>
      <c r="F3" s="4" t="s">
        <v>171</v>
      </c>
      <c r="G3" s="4" t="s">
        <v>265</v>
      </c>
      <c r="H3" s="4" t="s">
        <v>266</v>
      </c>
      <c r="I3" s="4"/>
      <c r="J3" s="4" t="s">
        <v>267</v>
      </c>
      <c r="K3" s="4">
        <v>800</v>
      </c>
      <c r="L3" s="4"/>
      <c r="M3" s="4" t="s">
        <v>180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496</v>
      </c>
      <c r="AD3" s="4"/>
      <c r="AE3" s="4">
        <v>20</v>
      </c>
      <c r="AF3" s="4">
        <v>30</v>
      </c>
      <c r="AG3" s="4">
        <v>25</v>
      </c>
      <c r="AH3" s="4"/>
      <c r="AI3" s="4">
        <v>25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100</v>
      </c>
      <c r="BL3" s="4">
        <v>95</v>
      </c>
      <c r="BM3" s="4">
        <v>90</v>
      </c>
      <c r="BN3" s="4">
        <v>85</v>
      </c>
      <c r="BO3" s="4">
        <v>80</v>
      </c>
      <c r="BP3" s="4">
        <v>75</v>
      </c>
      <c r="BQ3" s="4">
        <v>70</v>
      </c>
      <c r="BR3" s="4">
        <v>65</v>
      </c>
      <c r="BS3" s="4">
        <v>60</v>
      </c>
      <c r="BT3" s="4">
        <v>10</v>
      </c>
      <c r="BU3" s="4">
        <v>9.8000000000000007</v>
      </c>
      <c r="BV3" s="4">
        <v>9.6</v>
      </c>
      <c r="BW3" s="4">
        <v>9.4</v>
      </c>
      <c r="BX3" s="4">
        <v>9.1999999999999993</v>
      </c>
      <c r="BY3" s="4">
        <v>9</v>
      </c>
      <c r="BZ3" s="4">
        <v>8.8000000000000007</v>
      </c>
      <c r="CA3" s="4">
        <v>8.6</v>
      </c>
      <c r="CB3" s="4">
        <v>8.4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497</v>
      </c>
      <c r="CM3" s="4"/>
      <c r="CN3" s="4">
        <v>0.05</v>
      </c>
      <c r="CO3" s="4">
        <v>0.05</v>
      </c>
      <c r="CP3" s="4">
        <v>0.05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492</v>
      </c>
      <c r="B4" s="4" t="s">
        <v>494</v>
      </c>
      <c r="C4" s="4" t="s">
        <v>380</v>
      </c>
      <c r="D4" s="4" t="str">
        <f>D3</f>
        <v>전형명</v>
      </c>
      <c r="E4" s="4" t="s">
        <v>190</v>
      </c>
      <c r="F4" s="4" t="s">
        <v>191</v>
      </c>
      <c r="G4" s="4" t="s">
        <v>192</v>
      </c>
      <c r="H4" s="4" t="s">
        <v>193</v>
      </c>
      <c r="I4" s="4"/>
      <c r="J4" s="4" t="s">
        <v>194</v>
      </c>
      <c r="K4" s="4">
        <v>800</v>
      </c>
      <c r="L4" s="4"/>
      <c r="M4" s="4" t="s">
        <v>195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496</v>
      </c>
      <c r="AD4" s="4"/>
      <c r="AE4" s="4">
        <v>30</v>
      </c>
      <c r="AF4" s="4">
        <v>25</v>
      </c>
      <c r="AG4" s="4">
        <v>25</v>
      </c>
      <c r="AH4" s="4"/>
      <c r="AI4" s="4">
        <v>20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100</v>
      </c>
      <c r="BL4" s="4">
        <v>95</v>
      </c>
      <c r="BM4" s="4">
        <v>90</v>
      </c>
      <c r="BN4" s="4">
        <v>85</v>
      </c>
      <c r="BO4" s="4">
        <v>80</v>
      </c>
      <c r="BP4" s="4">
        <v>75</v>
      </c>
      <c r="BQ4" s="4">
        <v>70</v>
      </c>
      <c r="BR4" s="4">
        <v>65</v>
      </c>
      <c r="BS4" s="4">
        <v>60</v>
      </c>
      <c r="BT4" s="4">
        <v>10</v>
      </c>
      <c r="BU4" s="4">
        <v>9.8000000000000007</v>
      </c>
      <c r="BV4" s="4">
        <v>9.6</v>
      </c>
      <c r="BW4" s="4">
        <v>9.4</v>
      </c>
      <c r="BX4" s="4">
        <v>9.1999999999999993</v>
      </c>
      <c r="BY4" s="4">
        <v>9</v>
      </c>
      <c r="BZ4" s="4">
        <v>8.8000000000000007</v>
      </c>
      <c r="CA4" s="4">
        <v>8.6</v>
      </c>
      <c r="CB4" s="4">
        <v>8.4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492</v>
      </c>
      <c r="B5" s="4" t="s">
        <v>494</v>
      </c>
      <c r="C5" s="4" t="s">
        <v>380</v>
      </c>
      <c r="D5" s="4" t="str">
        <f>D4</f>
        <v>전형명</v>
      </c>
      <c r="E5" s="4" t="s">
        <v>185</v>
      </c>
      <c r="F5" s="4" t="s">
        <v>186</v>
      </c>
      <c r="G5" s="4" t="s">
        <v>187</v>
      </c>
      <c r="H5" s="4" t="s">
        <v>171</v>
      </c>
      <c r="I5" s="4"/>
      <c r="J5" s="4" t="s">
        <v>188</v>
      </c>
      <c r="K5" s="4">
        <v>800</v>
      </c>
      <c r="L5" s="4"/>
      <c r="M5" s="4" t="s">
        <v>189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496</v>
      </c>
      <c r="AD5" s="4"/>
      <c r="AE5" s="4">
        <v>30</v>
      </c>
      <c r="AF5" s="4">
        <v>25</v>
      </c>
      <c r="AG5" s="4">
        <v>25</v>
      </c>
      <c r="AH5" s="4"/>
      <c r="AI5" s="4">
        <v>20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100</v>
      </c>
      <c r="BL5" s="4">
        <v>95</v>
      </c>
      <c r="BM5" s="4">
        <v>90</v>
      </c>
      <c r="BN5" s="4">
        <v>85</v>
      </c>
      <c r="BO5" s="4">
        <v>80</v>
      </c>
      <c r="BP5" s="4">
        <v>75</v>
      </c>
      <c r="BQ5" s="4">
        <v>70</v>
      </c>
      <c r="BR5" s="4">
        <v>65</v>
      </c>
      <c r="BS5" s="4">
        <v>60</v>
      </c>
      <c r="BT5" s="4">
        <v>10</v>
      </c>
      <c r="BU5" s="4">
        <v>9.8000000000000007</v>
      </c>
      <c r="BV5" s="4">
        <v>9.6</v>
      </c>
      <c r="BW5" s="4">
        <v>9.4</v>
      </c>
      <c r="BX5" s="4">
        <v>9.1999999999999993</v>
      </c>
      <c r="BY5" s="4">
        <v>9</v>
      </c>
      <c r="BZ5" s="4">
        <v>8.8000000000000007</v>
      </c>
      <c r="CA5" s="4">
        <v>8.6</v>
      </c>
      <c r="CB5" s="4">
        <v>8.4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492</v>
      </c>
      <c r="B6" s="4" t="s">
        <v>494</v>
      </c>
      <c r="C6" s="4" t="s">
        <v>490</v>
      </c>
      <c r="D6" s="4" t="str">
        <f>D5</f>
        <v>전형명</v>
      </c>
      <c r="E6" s="4" t="s">
        <v>322</v>
      </c>
      <c r="F6" s="4" t="s">
        <v>96</v>
      </c>
      <c r="G6" s="4" t="s">
        <v>323</v>
      </c>
      <c r="H6" s="4" t="s">
        <v>231</v>
      </c>
      <c r="I6" s="4"/>
      <c r="J6" s="4" t="s">
        <v>324</v>
      </c>
      <c r="K6" s="4">
        <v>800</v>
      </c>
      <c r="L6" s="4"/>
      <c r="M6" s="4" t="s">
        <v>325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496</v>
      </c>
      <c r="AD6" s="4"/>
      <c r="AE6" s="4">
        <v>30</v>
      </c>
      <c r="AF6" s="4">
        <v>25</v>
      </c>
      <c r="AG6" s="4">
        <v>25</v>
      </c>
      <c r="AH6" s="4"/>
      <c r="AI6" s="4">
        <v>20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100</v>
      </c>
      <c r="BL6" s="4">
        <v>95</v>
      </c>
      <c r="BM6" s="4">
        <v>90</v>
      </c>
      <c r="BN6" s="4">
        <v>85</v>
      </c>
      <c r="BO6" s="4">
        <v>80</v>
      </c>
      <c r="BP6" s="4">
        <v>75</v>
      </c>
      <c r="BQ6" s="4">
        <v>70</v>
      </c>
      <c r="BR6" s="4">
        <v>65</v>
      </c>
      <c r="BS6" s="4">
        <v>60</v>
      </c>
      <c r="BT6" s="4">
        <v>10</v>
      </c>
      <c r="BU6" s="4">
        <v>9.8000000000000007</v>
      </c>
      <c r="BV6" s="4">
        <v>9.6</v>
      </c>
      <c r="BW6" s="4">
        <v>9.4</v>
      </c>
      <c r="BX6" s="4">
        <v>9.1999999999999993</v>
      </c>
      <c r="BY6" s="4">
        <v>9</v>
      </c>
      <c r="BZ6" s="4">
        <v>8.8000000000000007</v>
      </c>
      <c r="CA6" s="4">
        <v>8.6</v>
      </c>
      <c r="CB6" s="4">
        <v>8.4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492</v>
      </c>
      <c r="B7" s="4" t="s">
        <v>494</v>
      </c>
      <c r="C7" s="4" t="s">
        <v>490</v>
      </c>
      <c r="D7" s="4" t="str">
        <f>D6</f>
        <v>전형명</v>
      </c>
      <c r="E7" s="4" t="s">
        <v>349</v>
      </c>
      <c r="F7" s="4" t="s">
        <v>84</v>
      </c>
      <c r="G7" s="4" t="s">
        <v>146</v>
      </c>
      <c r="H7" s="4" t="s">
        <v>96</v>
      </c>
      <c r="I7" s="4"/>
      <c r="J7" s="4" t="s">
        <v>350</v>
      </c>
      <c r="K7" s="4">
        <v>800</v>
      </c>
      <c r="L7" s="4"/>
      <c r="M7" s="4" t="s">
        <v>351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496</v>
      </c>
      <c r="AD7" s="4"/>
      <c r="AE7" s="4">
        <v>30</v>
      </c>
      <c r="AF7" s="4">
        <v>25</v>
      </c>
      <c r="AG7" s="4">
        <v>25</v>
      </c>
      <c r="AH7" s="4"/>
      <c r="AI7" s="4">
        <v>20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100</v>
      </c>
      <c r="BL7" s="4">
        <v>95</v>
      </c>
      <c r="BM7" s="4">
        <v>90</v>
      </c>
      <c r="BN7" s="4">
        <v>85</v>
      </c>
      <c r="BO7" s="4">
        <v>80</v>
      </c>
      <c r="BP7" s="4">
        <v>75</v>
      </c>
      <c r="BQ7" s="4">
        <v>70</v>
      </c>
      <c r="BR7" s="4">
        <v>65</v>
      </c>
      <c r="BS7" s="4">
        <v>60</v>
      </c>
      <c r="BT7" s="4">
        <v>10</v>
      </c>
      <c r="BU7" s="4">
        <v>9.8000000000000007</v>
      </c>
      <c r="BV7" s="4">
        <v>9.6</v>
      </c>
      <c r="BW7" s="4">
        <v>9.4</v>
      </c>
      <c r="BX7" s="4">
        <v>9.1999999999999993</v>
      </c>
      <c r="BY7" s="4">
        <v>9</v>
      </c>
      <c r="BZ7" s="4">
        <v>8.8000000000000007</v>
      </c>
      <c r="CA7" s="4">
        <v>8.6</v>
      </c>
      <c r="CB7" s="4">
        <v>8.4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492</v>
      </c>
      <c r="B8" s="4" t="s">
        <v>494</v>
      </c>
      <c r="C8" s="4" t="s">
        <v>490</v>
      </c>
      <c r="D8" s="4" t="str">
        <f>D7</f>
        <v>전형명</v>
      </c>
      <c r="E8" s="4" t="s">
        <v>352</v>
      </c>
      <c r="F8" s="4" t="s">
        <v>84</v>
      </c>
      <c r="G8" s="4" t="s">
        <v>353</v>
      </c>
      <c r="H8" s="4" t="s">
        <v>354</v>
      </c>
      <c r="I8" s="4"/>
      <c r="J8" s="4" t="s">
        <v>355</v>
      </c>
      <c r="K8" s="4">
        <v>800</v>
      </c>
      <c r="L8" s="4"/>
      <c r="M8" s="4" t="s">
        <v>356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496</v>
      </c>
      <c r="AD8" s="4"/>
      <c r="AE8" s="4">
        <v>30</v>
      </c>
      <c r="AF8" s="4">
        <v>25</v>
      </c>
      <c r="AG8" s="4">
        <v>25</v>
      </c>
      <c r="AH8" s="4"/>
      <c r="AI8" s="4">
        <v>20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100</v>
      </c>
      <c r="BL8" s="4">
        <v>95</v>
      </c>
      <c r="BM8" s="4">
        <v>90</v>
      </c>
      <c r="BN8" s="4">
        <v>85</v>
      </c>
      <c r="BO8" s="4">
        <v>80</v>
      </c>
      <c r="BP8" s="4">
        <v>75</v>
      </c>
      <c r="BQ8" s="4">
        <v>70</v>
      </c>
      <c r="BR8" s="4">
        <v>65</v>
      </c>
      <c r="BS8" s="4">
        <v>60</v>
      </c>
      <c r="BT8" s="4">
        <v>10</v>
      </c>
      <c r="BU8" s="4">
        <v>9.8000000000000007</v>
      </c>
      <c r="BV8" s="4">
        <v>9.6</v>
      </c>
      <c r="BW8" s="4">
        <v>9.4</v>
      </c>
      <c r="BX8" s="4">
        <v>9.1999999999999993</v>
      </c>
      <c r="BY8" s="4">
        <v>9</v>
      </c>
      <c r="BZ8" s="4">
        <v>8.8000000000000007</v>
      </c>
      <c r="CA8" s="4">
        <v>8.6</v>
      </c>
      <c r="CB8" s="4">
        <v>8.4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492</v>
      </c>
      <c r="B9" s="4" t="s">
        <v>494</v>
      </c>
      <c r="C9" s="4" t="s">
        <v>488</v>
      </c>
      <c r="D9" s="4" t="str">
        <f>D8</f>
        <v>전형명</v>
      </c>
      <c r="E9" s="4" t="s">
        <v>126</v>
      </c>
      <c r="F9" s="4" t="s">
        <v>87</v>
      </c>
      <c r="G9" s="4" t="s">
        <v>127</v>
      </c>
      <c r="H9" s="4" t="s">
        <v>128</v>
      </c>
      <c r="I9" s="4"/>
      <c r="J9" s="4" t="s">
        <v>129</v>
      </c>
      <c r="K9" s="4">
        <v>800</v>
      </c>
      <c r="L9" s="4"/>
      <c r="M9" s="4" t="s">
        <v>130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496</v>
      </c>
      <c r="AD9" s="4"/>
      <c r="AE9" s="4">
        <v>30</v>
      </c>
      <c r="AF9" s="4">
        <v>25</v>
      </c>
      <c r="AG9" s="4">
        <v>25</v>
      </c>
      <c r="AH9" s="4"/>
      <c r="AI9" s="4">
        <v>20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100</v>
      </c>
      <c r="BL9" s="4">
        <v>95</v>
      </c>
      <c r="BM9" s="4">
        <v>90</v>
      </c>
      <c r="BN9" s="4">
        <v>85</v>
      </c>
      <c r="BO9" s="4">
        <v>80</v>
      </c>
      <c r="BP9" s="4">
        <v>75</v>
      </c>
      <c r="BQ9" s="4">
        <v>70</v>
      </c>
      <c r="BR9" s="4">
        <v>65</v>
      </c>
      <c r="BS9" s="4">
        <v>60</v>
      </c>
      <c r="BT9" s="4">
        <v>10</v>
      </c>
      <c r="BU9" s="4">
        <v>9.8000000000000007</v>
      </c>
      <c r="BV9" s="4">
        <v>9.6</v>
      </c>
      <c r="BW9" s="4">
        <v>9.4</v>
      </c>
      <c r="BX9" s="4">
        <v>9.1999999999999993</v>
      </c>
      <c r="BY9" s="4">
        <v>9</v>
      </c>
      <c r="BZ9" s="4">
        <v>8.8000000000000007</v>
      </c>
      <c r="CA9" s="4">
        <v>8.6</v>
      </c>
      <c r="CB9" s="4">
        <v>8.4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492</v>
      </c>
      <c r="B10" s="4" t="s">
        <v>494</v>
      </c>
      <c r="C10" s="4" t="s">
        <v>118</v>
      </c>
      <c r="D10" s="4" t="str">
        <f>D9</f>
        <v>전형명</v>
      </c>
      <c r="E10" s="4" t="s">
        <v>28</v>
      </c>
      <c r="F10" s="4" t="s">
        <v>96</v>
      </c>
      <c r="G10" s="4" t="s">
        <v>382</v>
      </c>
      <c r="H10" s="4" t="s">
        <v>81</v>
      </c>
      <c r="I10" s="4"/>
      <c r="J10" s="4" t="s">
        <v>383</v>
      </c>
      <c r="K10" s="4" t="s">
        <v>384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496</v>
      </c>
      <c r="AD10" s="4"/>
      <c r="AE10" s="4">
        <v>30</v>
      </c>
      <c r="AF10" s="4">
        <v>25</v>
      </c>
      <c r="AG10" s="4">
        <v>25</v>
      </c>
      <c r="AH10" s="4"/>
      <c r="AI10" s="4">
        <v>20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100</v>
      </c>
      <c r="BL10" s="4">
        <v>95</v>
      </c>
      <c r="BM10" s="4">
        <v>90</v>
      </c>
      <c r="BN10" s="4">
        <v>85</v>
      </c>
      <c r="BO10" s="4">
        <v>80</v>
      </c>
      <c r="BP10" s="4">
        <v>75</v>
      </c>
      <c r="BQ10" s="4">
        <v>70</v>
      </c>
      <c r="BR10" s="4">
        <v>65</v>
      </c>
      <c r="BS10" s="4">
        <v>60</v>
      </c>
      <c r="BT10" s="4">
        <v>10</v>
      </c>
      <c r="BU10" s="4">
        <v>9.8000000000000007</v>
      </c>
      <c r="BV10" s="4">
        <v>9.6</v>
      </c>
      <c r="BW10" s="4">
        <v>9.4</v>
      </c>
      <c r="BX10" s="4">
        <v>9.1999999999999993</v>
      </c>
      <c r="BY10" s="4">
        <v>9</v>
      </c>
      <c r="BZ10" s="4">
        <v>8.8000000000000007</v>
      </c>
      <c r="CA10" s="4">
        <v>8.6</v>
      </c>
      <c r="CB10" s="4">
        <v>8.4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492</v>
      </c>
      <c r="B11" s="4" t="s">
        <v>494</v>
      </c>
      <c r="C11" s="4" t="s">
        <v>490</v>
      </c>
      <c r="D11" s="4" t="str">
        <f>D10</f>
        <v>전형명</v>
      </c>
      <c r="E11" s="4" t="s">
        <v>373</v>
      </c>
      <c r="F11" s="4" t="s">
        <v>82</v>
      </c>
      <c r="G11" s="4" t="s">
        <v>305</v>
      </c>
      <c r="H11" s="4" t="s">
        <v>87</v>
      </c>
      <c r="I11" s="4"/>
      <c r="J11" s="4" t="s">
        <v>374</v>
      </c>
      <c r="K11" s="4">
        <v>800</v>
      </c>
      <c r="L11" s="4"/>
      <c r="M11" s="4" t="s">
        <v>375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496</v>
      </c>
      <c r="AD11" s="4"/>
      <c r="AE11" s="4">
        <v>30</v>
      </c>
      <c r="AF11" s="4">
        <v>25</v>
      </c>
      <c r="AG11" s="4">
        <v>25</v>
      </c>
      <c r="AH11" s="4"/>
      <c r="AI11" s="4">
        <v>20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100</v>
      </c>
      <c r="BL11" s="4">
        <v>95</v>
      </c>
      <c r="BM11" s="4">
        <v>90</v>
      </c>
      <c r="BN11" s="4">
        <v>85</v>
      </c>
      <c r="BO11" s="4">
        <v>80</v>
      </c>
      <c r="BP11" s="4">
        <v>75</v>
      </c>
      <c r="BQ11" s="4">
        <v>70</v>
      </c>
      <c r="BR11" s="4">
        <v>65</v>
      </c>
      <c r="BS11" s="4">
        <v>60</v>
      </c>
      <c r="BT11" s="4">
        <v>10</v>
      </c>
      <c r="BU11" s="4">
        <v>9.8000000000000007</v>
      </c>
      <c r="BV11" s="4">
        <v>9.6</v>
      </c>
      <c r="BW11" s="4">
        <v>9.4</v>
      </c>
      <c r="BX11" s="4">
        <v>9.1999999999999993</v>
      </c>
      <c r="BY11" s="4">
        <v>9</v>
      </c>
      <c r="BZ11" s="4">
        <v>8.8000000000000007</v>
      </c>
      <c r="CA11" s="4">
        <v>8.6</v>
      </c>
      <c r="CB11" s="4">
        <v>8.4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492</v>
      </c>
      <c r="B12" s="4" t="s">
        <v>494</v>
      </c>
      <c r="C12" s="4" t="s">
        <v>490</v>
      </c>
      <c r="D12" s="4" t="str">
        <f>D11</f>
        <v>전형명</v>
      </c>
      <c r="E12" s="4" t="s">
        <v>376</v>
      </c>
      <c r="F12" s="4" t="s">
        <v>87</v>
      </c>
      <c r="G12" s="4" t="s">
        <v>137</v>
      </c>
      <c r="H12" s="4" t="s">
        <v>186</v>
      </c>
      <c r="I12" s="4"/>
      <c r="J12" s="4" t="s">
        <v>377</v>
      </c>
      <c r="K12" s="4">
        <v>800</v>
      </c>
      <c r="L12" s="4"/>
      <c r="M12" s="4" t="s">
        <v>272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496</v>
      </c>
      <c r="AD12" s="4"/>
      <c r="AE12" s="4">
        <v>30</v>
      </c>
      <c r="AF12" s="4">
        <v>25</v>
      </c>
      <c r="AG12" s="4">
        <v>25</v>
      </c>
      <c r="AH12" s="4"/>
      <c r="AI12" s="4">
        <v>20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100</v>
      </c>
      <c r="BL12" s="4">
        <v>95</v>
      </c>
      <c r="BM12" s="4">
        <v>90</v>
      </c>
      <c r="BN12" s="4">
        <v>85</v>
      </c>
      <c r="BO12" s="4">
        <v>80</v>
      </c>
      <c r="BP12" s="4">
        <v>75</v>
      </c>
      <c r="BQ12" s="4">
        <v>70</v>
      </c>
      <c r="BR12" s="4">
        <v>65</v>
      </c>
      <c r="BS12" s="4">
        <v>60</v>
      </c>
      <c r="BT12" s="4">
        <v>10</v>
      </c>
      <c r="BU12" s="4">
        <v>9.8000000000000007</v>
      </c>
      <c r="BV12" s="4">
        <v>9.6</v>
      </c>
      <c r="BW12" s="4">
        <v>9.4</v>
      </c>
      <c r="BX12" s="4">
        <v>9.1999999999999993</v>
      </c>
      <c r="BY12" s="4">
        <v>9</v>
      </c>
      <c r="BZ12" s="4">
        <v>8.8000000000000007</v>
      </c>
      <c r="CA12" s="4">
        <v>8.6</v>
      </c>
      <c r="CB12" s="4">
        <v>8.4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492</v>
      </c>
      <c r="B13" s="4" t="s">
        <v>494</v>
      </c>
      <c r="C13" s="4" t="s">
        <v>490</v>
      </c>
      <c r="D13" s="4" t="str">
        <f>D12</f>
        <v>전형명</v>
      </c>
      <c r="E13" s="4" t="s">
        <v>268</v>
      </c>
      <c r="F13" s="4" t="s">
        <v>122</v>
      </c>
      <c r="G13" s="4" t="s">
        <v>269</v>
      </c>
      <c r="H13" s="4" t="s">
        <v>270</v>
      </c>
      <c r="I13" s="4"/>
      <c r="J13" s="4" t="s">
        <v>271</v>
      </c>
      <c r="K13" s="4">
        <v>800</v>
      </c>
      <c r="L13" s="4"/>
      <c r="M13" s="4" t="s">
        <v>272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496</v>
      </c>
      <c r="AD13" s="4"/>
      <c r="AE13" s="4">
        <v>20</v>
      </c>
      <c r="AF13" s="4">
        <v>30</v>
      </c>
      <c r="AG13" s="4">
        <v>25</v>
      </c>
      <c r="AH13" s="4"/>
      <c r="AI13" s="4">
        <v>25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100</v>
      </c>
      <c r="BL13" s="4">
        <v>95</v>
      </c>
      <c r="BM13" s="4">
        <v>90</v>
      </c>
      <c r="BN13" s="4">
        <v>85</v>
      </c>
      <c r="BO13" s="4">
        <v>80</v>
      </c>
      <c r="BP13" s="4">
        <v>75</v>
      </c>
      <c r="BQ13" s="4">
        <v>70</v>
      </c>
      <c r="BR13" s="4">
        <v>65</v>
      </c>
      <c r="BS13" s="4">
        <v>60</v>
      </c>
      <c r="BT13" s="4">
        <v>10</v>
      </c>
      <c r="BU13" s="4">
        <v>9.8000000000000007</v>
      </c>
      <c r="BV13" s="4">
        <v>9.6</v>
      </c>
      <c r="BW13" s="4">
        <v>9.4</v>
      </c>
      <c r="BX13" s="4">
        <v>9.1999999999999993</v>
      </c>
      <c r="BY13" s="4">
        <v>9</v>
      </c>
      <c r="BZ13" s="4">
        <v>8.8000000000000007</v>
      </c>
      <c r="CA13" s="4">
        <v>8.6</v>
      </c>
      <c r="CB13" s="4">
        <v>8.4</v>
      </c>
      <c r="CC13" s="4"/>
      <c r="CD13" s="4"/>
      <c r="CE13" s="4"/>
      <c r="CF13" s="4"/>
      <c r="CG13" s="4"/>
      <c r="CH13" s="4"/>
      <c r="CI13" s="4"/>
      <c r="CJ13" s="4"/>
      <c r="CK13" s="4"/>
      <c r="CL13" s="4" t="s">
        <v>497</v>
      </c>
      <c r="CM13" s="4"/>
      <c r="CN13" s="4">
        <v>0.05</v>
      </c>
      <c r="CO13" s="4">
        <v>0.05</v>
      </c>
      <c r="CP13" s="4">
        <v>0.05</v>
      </c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492</v>
      </c>
      <c r="B14" s="4" t="s">
        <v>494</v>
      </c>
      <c r="C14" s="4" t="s">
        <v>490</v>
      </c>
      <c r="D14" s="4" t="str">
        <f>D13</f>
        <v>전형명</v>
      </c>
      <c r="E14" s="4" t="s">
        <v>261</v>
      </c>
      <c r="F14" s="4" t="s">
        <v>86</v>
      </c>
      <c r="G14" s="4" t="s">
        <v>262</v>
      </c>
      <c r="H14" s="4" t="s">
        <v>96</v>
      </c>
      <c r="I14" s="4"/>
      <c r="J14" s="4" t="s">
        <v>263</v>
      </c>
      <c r="K14" s="4">
        <v>800</v>
      </c>
      <c r="L14" s="4"/>
      <c r="M14" s="4" t="s">
        <v>144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496</v>
      </c>
      <c r="AD14" s="4"/>
      <c r="AE14" s="4">
        <v>20</v>
      </c>
      <c r="AF14" s="4">
        <v>30</v>
      </c>
      <c r="AG14" s="4">
        <v>25</v>
      </c>
      <c r="AH14" s="4"/>
      <c r="AI14" s="4">
        <v>25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100</v>
      </c>
      <c r="BL14" s="4">
        <v>95</v>
      </c>
      <c r="BM14" s="4">
        <v>90</v>
      </c>
      <c r="BN14" s="4">
        <v>85</v>
      </c>
      <c r="BO14" s="4">
        <v>80</v>
      </c>
      <c r="BP14" s="4">
        <v>75</v>
      </c>
      <c r="BQ14" s="4">
        <v>70</v>
      </c>
      <c r="BR14" s="4">
        <v>65</v>
      </c>
      <c r="BS14" s="4">
        <v>60</v>
      </c>
      <c r="BT14" s="4">
        <v>10</v>
      </c>
      <c r="BU14" s="4">
        <v>9.8000000000000007</v>
      </c>
      <c r="BV14" s="4">
        <v>9.6</v>
      </c>
      <c r="BW14" s="4">
        <v>9.4</v>
      </c>
      <c r="BX14" s="4">
        <v>9.1999999999999993</v>
      </c>
      <c r="BY14" s="4">
        <v>9</v>
      </c>
      <c r="BZ14" s="4">
        <v>8.8000000000000007</v>
      </c>
      <c r="CA14" s="4">
        <v>8.6</v>
      </c>
      <c r="CB14" s="4">
        <v>8.4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497</v>
      </c>
      <c r="CM14" s="4"/>
      <c r="CN14" s="4">
        <v>0.05</v>
      </c>
      <c r="CO14" s="4">
        <v>0.05</v>
      </c>
      <c r="CP14" s="4">
        <v>0.05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492</v>
      </c>
      <c r="B15" s="4" t="s">
        <v>494</v>
      </c>
      <c r="C15" s="4" t="s">
        <v>490</v>
      </c>
      <c r="D15" s="4" t="str">
        <f>D14</f>
        <v>전형명</v>
      </c>
      <c r="E15" s="4" t="s">
        <v>312</v>
      </c>
      <c r="F15" s="4" t="s">
        <v>87</v>
      </c>
      <c r="G15" s="4" t="s">
        <v>313</v>
      </c>
      <c r="H15" s="4" t="s">
        <v>96</v>
      </c>
      <c r="I15" s="4"/>
      <c r="J15" s="4" t="s">
        <v>314</v>
      </c>
      <c r="K15" s="4">
        <v>800</v>
      </c>
      <c r="L15" s="4"/>
      <c r="M15" s="4" t="s">
        <v>315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496</v>
      </c>
      <c r="AD15" s="4"/>
      <c r="AE15" s="4">
        <v>20</v>
      </c>
      <c r="AF15" s="4">
        <v>30</v>
      </c>
      <c r="AG15" s="4">
        <v>25</v>
      </c>
      <c r="AH15" s="4"/>
      <c r="AI15" s="4">
        <v>25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100</v>
      </c>
      <c r="BL15" s="4">
        <v>95</v>
      </c>
      <c r="BM15" s="4">
        <v>90</v>
      </c>
      <c r="BN15" s="4">
        <v>85</v>
      </c>
      <c r="BO15" s="4">
        <v>80</v>
      </c>
      <c r="BP15" s="4">
        <v>75</v>
      </c>
      <c r="BQ15" s="4">
        <v>70</v>
      </c>
      <c r="BR15" s="4">
        <v>65</v>
      </c>
      <c r="BS15" s="4">
        <v>60</v>
      </c>
      <c r="BT15" s="4">
        <v>10</v>
      </c>
      <c r="BU15" s="4">
        <v>9.8000000000000007</v>
      </c>
      <c r="BV15" s="4">
        <v>9.6</v>
      </c>
      <c r="BW15" s="4">
        <v>9.4</v>
      </c>
      <c r="BX15" s="4">
        <v>9.1999999999999993</v>
      </c>
      <c r="BY15" s="4">
        <v>9</v>
      </c>
      <c r="BZ15" s="4">
        <v>8.8000000000000007</v>
      </c>
      <c r="CA15" s="4">
        <v>8.6</v>
      </c>
      <c r="CB15" s="4">
        <v>8.4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497</v>
      </c>
      <c r="CM15" s="4"/>
      <c r="CN15" s="4">
        <v>0.05</v>
      </c>
      <c r="CO15" s="4">
        <v>0.05</v>
      </c>
      <c r="CP15" s="4">
        <v>0.05</v>
      </c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492</v>
      </c>
      <c r="B16" s="4" t="s">
        <v>494</v>
      </c>
      <c r="C16" s="4" t="s">
        <v>380</v>
      </c>
      <c r="D16" s="4" t="str">
        <f>D15</f>
        <v>전형명</v>
      </c>
      <c r="E16" s="4" t="s">
        <v>196</v>
      </c>
      <c r="F16" s="4" t="s">
        <v>197</v>
      </c>
      <c r="G16" s="4" t="s">
        <v>198</v>
      </c>
      <c r="H16" s="4" t="s">
        <v>171</v>
      </c>
      <c r="I16" s="4"/>
      <c r="J16" s="4" t="s">
        <v>199</v>
      </c>
      <c r="K16" s="4">
        <v>800</v>
      </c>
      <c r="L16" s="4"/>
      <c r="M16" s="4" t="s">
        <v>200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496</v>
      </c>
      <c r="AD16" s="4"/>
      <c r="AE16" s="4">
        <v>30</v>
      </c>
      <c r="AF16" s="4">
        <v>25</v>
      </c>
      <c r="AG16" s="4">
        <v>25</v>
      </c>
      <c r="AH16" s="4"/>
      <c r="AI16" s="4">
        <v>20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100</v>
      </c>
      <c r="BL16" s="4">
        <v>95</v>
      </c>
      <c r="BM16" s="4">
        <v>90</v>
      </c>
      <c r="BN16" s="4">
        <v>85</v>
      </c>
      <c r="BO16" s="4">
        <v>80</v>
      </c>
      <c r="BP16" s="4">
        <v>75</v>
      </c>
      <c r="BQ16" s="4">
        <v>70</v>
      </c>
      <c r="BR16" s="4">
        <v>65</v>
      </c>
      <c r="BS16" s="4">
        <v>60</v>
      </c>
      <c r="BT16" s="4">
        <v>10</v>
      </c>
      <c r="BU16" s="4">
        <v>9.8000000000000007</v>
      </c>
      <c r="BV16" s="4">
        <v>9.6</v>
      </c>
      <c r="BW16" s="4">
        <v>9.4</v>
      </c>
      <c r="BX16" s="4">
        <v>9.1999999999999993</v>
      </c>
      <c r="BY16" s="4">
        <v>9</v>
      </c>
      <c r="BZ16" s="4">
        <v>8.8000000000000007</v>
      </c>
      <c r="CA16" s="4">
        <v>8.6</v>
      </c>
      <c r="CB16" s="4">
        <v>8.4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492</v>
      </c>
      <c r="B17" s="4" t="s">
        <v>494</v>
      </c>
      <c r="C17" s="4" t="s">
        <v>380</v>
      </c>
      <c r="D17" s="4" t="str">
        <f>D16</f>
        <v>전형명</v>
      </c>
      <c r="E17" s="4" t="s">
        <v>152</v>
      </c>
      <c r="F17" s="4" t="s">
        <v>83</v>
      </c>
      <c r="G17" s="4" t="s">
        <v>153</v>
      </c>
      <c r="H17" s="4" t="s">
        <v>87</v>
      </c>
      <c r="I17" s="4"/>
      <c r="J17" s="4" t="s">
        <v>154</v>
      </c>
      <c r="K17" s="4">
        <v>800</v>
      </c>
      <c r="L17" s="4"/>
      <c r="M17" s="4" t="s">
        <v>144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496</v>
      </c>
      <c r="AD17" s="4"/>
      <c r="AE17" s="4">
        <v>30</v>
      </c>
      <c r="AF17" s="4">
        <v>25</v>
      </c>
      <c r="AG17" s="4">
        <v>25</v>
      </c>
      <c r="AH17" s="4"/>
      <c r="AI17" s="4">
        <v>20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100</v>
      </c>
      <c r="BL17" s="4">
        <v>95</v>
      </c>
      <c r="BM17" s="4">
        <v>90</v>
      </c>
      <c r="BN17" s="4">
        <v>85</v>
      </c>
      <c r="BO17" s="4">
        <v>80</v>
      </c>
      <c r="BP17" s="4">
        <v>75</v>
      </c>
      <c r="BQ17" s="4">
        <v>70</v>
      </c>
      <c r="BR17" s="4">
        <v>65</v>
      </c>
      <c r="BS17" s="4">
        <v>60</v>
      </c>
      <c r="BT17" s="4">
        <v>10</v>
      </c>
      <c r="BU17" s="4">
        <v>9.8000000000000007</v>
      </c>
      <c r="BV17" s="4">
        <v>9.6</v>
      </c>
      <c r="BW17" s="4">
        <v>9.4</v>
      </c>
      <c r="BX17" s="4">
        <v>9.1999999999999993</v>
      </c>
      <c r="BY17" s="4">
        <v>9</v>
      </c>
      <c r="BZ17" s="4">
        <v>8.8000000000000007</v>
      </c>
      <c r="CA17" s="4">
        <v>8.6</v>
      </c>
      <c r="CB17" s="4">
        <v>8.4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492</v>
      </c>
      <c r="B18" s="4" t="s">
        <v>494</v>
      </c>
      <c r="C18" s="4" t="s">
        <v>380</v>
      </c>
      <c r="D18" s="4" t="str">
        <f>D17</f>
        <v>전형명</v>
      </c>
      <c r="E18" s="4" t="s">
        <v>165</v>
      </c>
      <c r="F18" s="4" t="s">
        <v>85</v>
      </c>
      <c r="G18" s="4" t="s">
        <v>166</v>
      </c>
      <c r="H18" s="4" t="s">
        <v>138</v>
      </c>
      <c r="I18" s="4"/>
      <c r="J18" s="4" t="s">
        <v>167</v>
      </c>
      <c r="K18" s="4">
        <v>800</v>
      </c>
      <c r="L18" s="4"/>
      <c r="M18" s="4" t="s">
        <v>168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496</v>
      </c>
      <c r="AD18" s="4"/>
      <c r="AE18" s="4">
        <v>20</v>
      </c>
      <c r="AF18" s="4">
        <v>30</v>
      </c>
      <c r="AG18" s="4">
        <v>25</v>
      </c>
      <c r="AH18" s="4"/>
      <c r="AI18" s="4">
        <v>25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>
        <v>100</v>
      </c>
      <c r="BL18" s="4">
        <v>95</v>
      </c>
      <c r="BM18" s="4">
        <v>90</v>
      </c>
      <c r="BN18" s="4">
        <v>85</v>
      </c>
      <c r="BO18" s="4">
        <v>80</v>
      </c>
      <c r="BP18" s="4">
        <v>75</v>
      </c>
      <c r="BQ18" s="4">
        <v>70</v>
      </c>
      <c r="BR18" s="4">
        <v>65</v>
      </c>
      <c r="BS18" s="4">
        <v>60</v>
      </c>
      <c r="BT18" s="4">
        <v>10</v>
      </c>
      <c r="BU18" s="4">
        <v>9.8000000000000007</v>
      </c>
      <c r="BV18" s="4">
        <v>9.6</v>
      </c>
      <c r="BW18" s="4">
        <v>9.4</v>
      </c>
      <c r="BX18" s="4">
        <v>9.1999999999999993</v>
      </c>
      <c r="BY18" s="4">
        <v>9</v>
      </c>
      <c r="BZ18" s="4">
        <v>8.8000000000000007</v>
      </c>
      <c r="CA18" s="4">
        <v>8.6</v>
      </c>
      <c r="CB18" s="4">
        <v>8.4</v>
      </c>
      <c r="CC18" s="4"/>
      <c r="CD18" s="4"/>
      <c r="CE18" s="4"/>
      <c r="CF18" s="4"/>
      <c r="CG18" s="4"/>
      <c r="CH18" s="4"/>
      <c r="CI18" s="4"/>
      <c r="CJ18" s="4"/>
      <c r="CK18" s="4"/>
      <c r="CL18" s="4" t="s">
        <v>497</v>
      </c>
      <c r="CM18" s="4"/>
      <c r="CN18" s="4">
        <v>0.05</v>
      </c>
      <c r="CO18" s="4">
        <v>0.05</v>
      </c>
      <c r="CP18" s="4">
        <v>0.05</v>
      </c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492</v>
      </c>
      <c r="B19" s="4" t="s">
        <v>494</v>
      </c>
      <c r="C19" s="4" t="s">
        <v>380</v>
      </c>
      <c r="D19" s="4" t="str">
        <f>D18</f>
        <v>전형명</v>
      </c>
      <c r="E19" s="4" t="s">
        <v>181</v>
      </c>
      <c r="F19" s="4" t="s">
        <v>85</v>
      </c>
      <c r="G19" s="4" t="s">
        <v>182</v>
      </c>
      <c r="H19" s="4" t="s">
        <v>87</v>
      </c>
      <c r="I19" s="4"/>
      <c r="J19" s="4" t="s">
        <v>183</v>
      </c>
      <c r="K19" s="4">
        <v>800</v>
      </c>
      <c r="L19" s="4"/>
      <c r="M19" s="4" t="s">
        <v>184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496</v>
      </c>
      <c r="AD19" s="4"/>
      <c r="AE19" s="4">
        <v>30</v>
      </c>
      <c r="AF19" s="4">
        <v>25</v>
      </c>
      <c r="AG19" s="4">
        <v>25</v>
      </c>
      <c r="AH19" s="4"/>
      <c r="AI19" s="4">
        <v>20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>
        <v>100</v>
      </c>
      <c r="BL19" s="4">
        <v>95</v>
      </c>
      <c r="BM19" s="4">
        <v>90</v>
      </c>
      <c r="BN19" s="4">
        <v>85</v>
      </c>
      <c r="BO19" s="4">
        <v>80</v>
      </c>
      <c r="BP19" s="4">
        <v>75</v>
      </c>
      <c r="BQ19" s="4">
        <v>70</v>
      </c>
      <c r="BR19" s="4">
        <v>65</v>
      </c>
      <c r="BS19" s="4">
        <v>60</v>
      </c>
      <c r="BT19" s="4">
        <v>10</v>
      </c>
      <c r="BU19" s="4">
        <v>9.8000000000000007</v>
      </c>
      <c r="BV19" s="4">
        <v>9.6</v>
      </c>
      <c r="BW19" s="4">
        <v>9.4</v>
      </c>
      <c r="BX19" s="4">
        <v>9.1999999999999993</v>
      </c>
      <c r="BY19" s="4">
        <v>9</v>
      </c>
      <c r="BZ19" s="4">
        <v>8.8000000000000007</v>
      </c>
      <c r="CA19" s="4">
        <v>8.6</v>
      </c>
      <c r="CB19" s="4">
        <v>8.4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492</v>
      </c>
      <c r="B20" s="4" t="s">
        <v>494</v>
      </c>
      <c r="C20" s="4" t="s">
        <v>490</v>
      </c>
      <c r="D20" s="4" t="str">
        <f>D19</f>
        <v>전형명</v>
      </c>
      <c r="E20" s="4" t="s">
        <v>308</v>
      </c>
      <c r="F20" s="4" t="s">
        <v>138</v>
      </c>
      <c r="G20" s="4" t="s">
        <v>309</v>
      </c>
      <c r="H20" s="4" t="s">
        <v>186</v>
      </c>
      <c r="I20" s="4"/>
      <c r="J20" s="4" t="s">
        <v>310</v>
      </c>
      <c r="K20" s="4">
        <v>800</v>
      </c>
      <c r="L20" s="4"/>
      <c r="M20" s="4" t="s">
        <v>311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496</v>
      </c>
      <c r="AD20" s="4"/>
      <c r="AE20" s="4">
        <v>20</v>
      </c>
      <c r="AF20" s="4">
        <v>30</v>
      </c>
      <c r="AG20" s="4">
        <v>25</v>
      </c>
      <c r="AH20" s="4"/>
      <c r="AI20" s="4">
        <v>25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>
        <v>100</v>
      </c>
      <c r="BL20" s="4">
        <v>95</v>
      </c>
      <c r="BM20" s="4">
        <v>90</v>
      </c>
      <c r="BN20" s="4">
        <v>85</v>
      </c>
      <c r="BO20" s="4">
        <v>80</v>
      </c>
      <c r="BP20" s="4">
        <v>75</v>
      </c>
      <c r="BQ20" s="4">
        <v>70</v>
      </c>
      <c r="BR20" s="4">
        <v>65</v>
      </c>
      <c r="BS20" s="4">
        <v>60</v>
      </c>
      <c r="BT20" s="4">
        <v>10</v>
      </c>
      <c r="BU20" s="4">
        <v>9.8000000000000007</v>
      </c>
      <c r="BV20" s="4">
        <v>9.6</v>
      </c>
      <c r="BW20" s="4">
        <v>9.4</v>
      </c>
      <c r="BX20" s="4">
        <v>9.1999999999999993</v>
      </c>
      <c r="BY20" s="4">
        <v>9</v>
      </c>
      <c r="BZ20" s="4">
        <v>8.8000000000000007</v>
      </c>
      <c r="CA20" s="4">
        <v>8.6</v>
      </c>
      <c r="CB20" s="4">
        <v>8.4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497</v>
      </c>
      <c r="CM20" s="4"/>
      <c r="CN20" s="4">
        <v>0.05</v>
      </c>
      <c r="CO20" s="4">
        <v>0.05</v>
      </c>
      <c r="CP20" s="4">
        <v>0.05</v>
      </c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492</v>
      </c>
      <c r="B21" s="4" t="s">
        <v>494</v>
      </c>
      <c r="C21" s="4" t="s">
        <v>380</v>
      </c>
      <c r="D21" s="4" t="str">
        <f>D20</f>
        <v>전형명</v>
      </c>
      <c r="E21" s="4" t="s">
        <v>177</v>
      </c>
      <c r="F21" s="4" t="s">
        <v>85</v>
      </c>
      <c r="G21" s="4" t="s">
        <v>178</v>
      </c>
      <c r="H21" s="4" t="s">
        <v>85</v>
      </c>
      <c r="I21" s="4"/>
      <c r="J21" s="4" t="s">
        <v>179</v>
      </c>
      <c r="K21" s="4">
        <v>800</v>
      </c>
      <c r="L21" s="4"/>
      <c r="M21" s="4" t="s">
        <v>180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496</v>
      </c>
      <c r="AD21" s="4"/>
      <c r="AE21" s="4">
        <v>30</v>
      </c>
      <c r="AF21" s="4">
        <v>25</v>
      </c>
      <c r="AG21" s="4">
        <v>25</v>
      </c>
      <c r="AH21" s="4"/>
      <c r="AI21" s="4">
        <v>20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>
        <v>100</v>
      </c>
      <c r="BL21" s="4">
        <v>95</v>
      </c>
      <c r="BM21" s="4">
        <v>90</v>
      </c>
      <c r="BN21" s="4">
        <v>85</v>
      </c>
      <c r="BO21" s="4">
        <v>80</v>
      </c>
      <c r="BP21" s="4">
        <v>75</v>
      </c>
      <c r="BQ21" s="4">
        <v>70</v>
      </c>
      <c r="BR21" s="4">
        <v>65</v>
      </c>
      <c r="BS21" s="4">
        <v>60</v>
      </c>
      <c r="BT21" s="4">
        <v>10</v>
      </c>
      <c r="BU21" s="4">
        <v>9.8000000000000007</v>
      </c>
      <c r="BV21" s="4">
        <v>9.6</v>
      </c>
      <c r="BW21" s="4">
        <v>9.4</v>
      </c>
      <c r="BX21" s="4">
        <v>9.1999999999999993</v>
      </c>
      <c r="BY21" s="4">
        <v>9</v>
      </c>
      <c r="BZ21" s="4">
        <v>8.8000000000000007</v>
      </c>
      <c r="CA21" s="4">
        <v>8.6</v>
      </c>
      <c r="CB21" s="4">
        <v>8.4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492</v>
      </c>
      <c r="B22" s="4" t="s">
        <v>494</v>
      </c>
      <c r="C22" s="4" t="s">
        <v>490</v>
      </c>
      <c r="D22" s="4" t="str">
        <f>D21</f>
        <v>전형명</v>
      </c>
      <c r="E22" s="4" t="s">
        <v>334</v>
      </c>
      <c r="F22" s="4" t="s">
        <v>85</v>
      </c>
      <c r="G22" s="4" t="s">
        <v>335</v>
      </c>
      <c r="H22" s="4" t="s">
        <v>336</v>
      </c>
      <c r="I22" s="4"/>
      <c r="J22" s="4" t="s">
        <v>337</v>
      </c>
      <c r="K22" s="4">
        <v>800</v>
      </c>
      <c r="L22" s="4"/>
      <c r="M22" s="4" t="s">
        <v>219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496</v>
      </c>
      <c r="AD22" s="4"/>
      <c r="AE22" s="4">
        <v>25</v>
      </c>
      <c r="AF22" s="4">
        <v>25</v>
      </c>
      <c r="AG22" s="4">
        <v>25</v>
      </c>
      <c r="AH22" s="4"/>
      <c r="AI22" s="4">
        <v>25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100</v>
      </c>
      <c r="BL22" s="4">
        <v>95</v>
      </c>
      <c r="BM22" s="4">
        <v>90</v>
      </c>
      <c r="BN22" s="4">
        <v>85</v>
      </c>
      <c r="BO22" s="4">
        <v>80</v>
      </c>
      <c r="BP22" s="4">
        <v>75</v>
      </c>
      <c r="BQ22" s="4">
        <v>70</v>
      </c>
      <c r="BR22" s="4">
        <v>65</v>
      </c>
      <c r="BS22" s="4">
        <v>60</v>
      </c>
      <c r="BT22" s="4">
        <v>10</v>
      </c>
      <c r="BU22" s="4">
        <v>9.8000000000000007</v>
      </c>
      <c r="BV22" s="4">
        <v>9.6</v>
      </c>
      <c r="BW22" s="4">
        <v>9.4</v>
      </c>
      <c r="BX22" s="4">
        <v>9.1999999999999993</v>
      </c>
      <c r="BY22" s="4">
        <v>9</v>
      </c>
      <c r="BZ22" s="4">
        <v>8.8000000000000007</v>
      </c>
      <c r="CA22" s="4">
        <v>8.6</v>
      </c>
      <c r="CB22" s="4">
        <v>8.4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492</v>
      </c>
      <c r="B23" s="4" t="s">
        <v>494</v>
      </c>
      <c r="C23" s="4" t="s">
        <v>490</v>
      </c>
      <c r="D23" s="4" t="str">
        <f>D22</f>
        <v>전형명</v>
      </c>
      <c r="E23" s="4" t="s">
        <v>371</v>
      </c>
      <c r="F23" s="4" t="s">
        <v>84</v>
      </c>
      <c r="G23" s="4" t="s">
        <v>358</v>
      </c>
      <c r="H23" s="4" t="s">
        <v>342</v>
      </c>
      <c r="I23" s="4"/>
      <c r="J23" s="4" t="s">
        <v>372</v>
      </c>
      <c r="K23" s="4">
        <v>800</v>
      </c>
      <c r="L23" s="4"/>
      <c r="M23" s="4" t="s">
        <v>298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496</v>
      </c>
      <c r="AD23" s="4"/>
      <c r="AE23" s="4">
        <v>30</v>
      </c>
      <c r="AF23" s="4">
        <v>25</v>
      </c>
      <c r="AG23" s="4">
        <v>25</v>
      </c>
      <c r="AH23" s="4"/>
      <c r="AI23" s="4">
        <v>20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>
        <v>100</v>
      </c>
      <c r="BL23" s="4">
        <v>95</v>
      </c>
      <c r="BM23" s="4">
        <v>90</v>
      </c>
      <c r="BN23" s="4">
        <v>85</v>
      </c>
      <c r="BO23" s="4">
        <v>80</v>
      </c>
      <c r="BP23" s="4">
        <v>75</v>
      </c>
      <c r="BQ23" s="4">
        <v>70</v>
      </c>
      <c r="BR23" s="4">
        <v>65</v>
      </c>
      <c r="BS23" s="4">
        <v>60</v>
      </c>
      <c r="BT23" s="4">
        <v>10</v>
      </c>
      <c r="BU23" s="4">
        <v>9.8000000000000007</v>
      </c>
      <c r="BV23" s="4">
        <v>9.6</v>
      </c>
      <c r="BW23" s="4">
        <v>9.4</v>
      </c>
      <c r="BX23" s="4">
        <v>9.1999999999999993</v>
      </c>
      <c r="BY23" s="4">
        <v>9</v>
      </c>
      <c r="BZ23" s="4">
        <v>8.8000000000000007</v>
      </c>
      <c r="CA23" s="4">
        <v>8.6</v>
      </c>
      <c r="CB23" s="4">
        <v>8.4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492</v>
      </c>
      <c r="B24" s="4" t="s">
        <v>494</v>
      </c>
      <c r="C24" s="4" t="s">
        <v>490</v>
      </c>
      <c r="D24" s="4" t="str">
        <f>D23</f>
        <v>전형명</v>
      </c>
      <c r="E24" s="4" t="s">
        <v>341</v>
      </c>
      <c r="F24" s="4" t="s">
        <v>342</v>
      </c>
      <c r="G24" s="4" t="s">
        <v>323</v>
      </c>
      <c r="H24" s="4" t="s">
        <v>138</v>
      </c>
      <c r="I24" s="4"/>
      <c r="J24" s="4" t="s">
        <v>343</v>
      </c>
      <c r="K24" s="4">
        <v>800</v>
      </c>
      <c r="L24" s="4"/>
      <c r="M24" s="4" t="s">
        <v>344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496</v>
      </c>
      <c r="AD24" s="4"/>
      <c r="AE24" s="4">
        <v>20</v>
      </c>
      <c r="AF24" s="4">
        <v>30</v>
      </c>
      <c r="AG24" s="4">
        <v>25</v>
      </c>
      <c r="AH24" s="4"/>
      <c r="AI24" s="4">
        <v>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>
        <v>100</v>
      </c>
      <c r="BL24" s="4">
        <v>95</v>
      </c>
      <c r="BM24" s="4">
        <v>90</v>
      </c>
      <c r="BN24" s="4">
        <v>85</v>
      </c>
      <c r="BO24" s="4">
        <v>80</v>
      </c>
      <c r="BP24" s="4">
        <v>75</v>
      </c>
      <c r="BQ24" s="4">
        <v>70</v>
      </c>
      <c r="BR24" s="4">
        <v>65</v>
      </c>
      <c r="BS24" s="4">
        <v>60</v>
      </c>
      <c r="BT24" s="4">
        <v>10</v>
      </c>
      <c r="BU24" s="4">
        <v>9.8000000000000007</v>
      </c>
      <c r="BV24" s="4">
        <v>9.6</v>
      </c>
      <c r="BW24" s="4">
        <v>9.4</v>
      </c>
      <c r="BX24" s="4">
        <v>9.1999999999999993</v>
      </c>
      <c r="BY24" s="4">
        <v>9</v>
      </c>
      <c r="BZ24" s="4">
        <v>8.8000000000000007</v>
      </c>
      <c r="CA24" s="4">
        <v>8.6</v>
      </c>
      <c r="CB24" s="4">
        <v>8.4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497</v>
      </c>
      <c r="CM24" s="4"/>
      <c r="CN24" s="4">
        <v>0.05</v>
      </c>
      <c r="CO24" s="4">
        <v>0.05</v>
      </c>
      <c r="CP24" s="4">
        <v>0.05</v>
      </c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492</v>
      </c>
      <c r="B25" s="4" t="s">
        <v>494</v>
      </c>
      <c r="C25" s="4" t="s">
        <v>380</v>
      </c>
      <c r="D25" s="4" t="str">
        <f>D24</f>
        <v>전형명</v>
      </c>
      <c r="E25" s="4" t="s">
        <v>169</v>
      </c>
      <c r="F25" s="4" t="s">
        <v>86</v>
      </c>
      <c r="G25" s="4" t="s">
        <v>170</v>
      </c>
      <c r="H25" s="4" t="s">
        <v>171</v>
      </c>
      <c r="I25" s="4"/>
      <c r="J25" s="4" t="s">
        <v>172</v>
      </c>
      <c r="K25" s="4">
        <v>800</v>
      </c>
      <c r="L25" s="4"/>
      <c r="M25" s="4" t="s">
        <v>173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496</v>
      </c>
      <c r="AD25" s="4"/>
      <c r="AE25" s="4">
        <v>20</v>
      </c>
      <c r="AF25" s="4">
        <v>30</v>
      </c>
      <c r="AG25" s="4">
        <v>25</v>
      </c>
      <c r="AH25" s="4"/>
      <c r="AI25" s="4">
        <v>25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>
        <v>100</v>
      </c>
      <c r="BL25" s="4">
        <v>95</v>
      </c>
      <c r="BM25" s="4">
        <v>90</v>
      </c>
      <c r="BN25" s="4">
        <v>85</v>
      </c>
      <c r="BO25" s="4">
        <v>80</v>
      </c>
      <c r="BP25" s="4">
        <v>75</v>
      </c>
      <c r="BQ25" s="4">
        <v>70</v>
      </c>
      <c r="BR25" s="4">
        <v>65</v>
      </c>
      <c r="BS25" s="4">
        <v>60</v>
      </c>
      <c r="BT25" s="4">
        <v>10</v>
      </c>
      <c r="BU25" s="4">
        <v>9.8000000000000007</v>
      </c>
      <c r="BV25" s="4">
        <v>9.6</v>
      </c>
      <c r="BW25" s="4">
        <v>9.4</v>
      </c>
      <c r="BX25" s="4">
        <v>9.1999999999999993</v>
      </c>
      <c r="BY25" s="4">
        <v>9</v>
      </c>
      <c r="BZ25" s="4">
        <v>8.8000000000000007</v>
      </c>
      <c r="CA25" s="4">
        <v>8.6</v>
      </c>
      <c r="CB25" s="4">
        <v>8.4</v>
      </c>
      <c r="CC25" s="4"/>
      <c r="CD25" s="4"/>
      <c r="CE25" s="4"/>
      <c r="CF25" s="4"/>
      <c r="CG25" s="4"/>
      <c r="CH25" s="4"/>
      <c r="CI25" s="4"/>
      <c r="CJ25" s="4"/>
      <c r="CK25" s="4"/>
      <c r="CL25" s="4" t="s">
        <v>497</v>
      </c>
      <c r="CM25" s="4"/>
      <c r="CN25" s="4">
        <v>0.05</v>
      </c>
      <c r="CO25" s="4">
        <v>0.05</v>
      </c>
      <c r="CP25" s="4">
        <v>0.05</v>
      </c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492</v>
      </c>
      <c r="B26" s="4" t="s">
        <v>494</v>
      </c>
      <c r="C26" s="4" t="s">
        <v>490</v>
      </c>
      <c r="D26" s="4" t="str">
        <f>D25</f>
        <v>전형명</v>
      </c>
      <c r="E26" s="4" t="s">
        <v>304</v>
      </c>
      <c r="F26" s="4" t="s">
        <v>96</v>
      </c>
      <c r="G26" s="4" t="s">
        <v>305</v>
      </c>
      <c r="H26" s="4" t="s">
        <v>86</v>
      </c>
      <c r="I26" s="4"/>
      <c r="J26" s="4" t="s">
        <v>306</v>
      </c>
      <c r="K26" s="4">
        <v>800</v>
      </c>
      <c r="L26" s="4"/>
      <c r="M26" s="4" t="s">
        <v>307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496</v>
      </c>
      <c r="AD26" s="4"/>
      <c r="AE26" s="4">
        <v>20</v>
      </c>
      <c r="AF26" s="4">
        <v>30</v>
      </c>
      <c r="AG26" s="4">
        <v>25</v>
      </c>
      <c r="AH26" s="4"/>
      <c r="AI26" s="4">
        <v>25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>
        <v>100</v>
      </c>
      <c r="BL26" s="4">
        <v>95</v>
      </c>
      <c r="BM26" s="4">
        <v>90</v>
      </c>
      <c r="BN26" s="4">
        <v>85</v>
      </c>
      <c r="BO26" s="4">
        <v>80</v>
      </c>
      <c r="BP26" s="4">
        <v>75</v>
      </c>
      <c r="BQ26" s="4">
        <v>70</v>
      </c>
      <c r="BR26" s="4">
        <v>65</v>
      </c>
      <c r="BS26" s="4">
        <v>60</v>
      </c>
      <c r="BT26" s="4">
        <v>10</v>
      </c>
      <c r="BU26" s="4">
        <v>9.8000000000000007</v>
      </c>
      <c r="BV26" s="4">
        <v>9.6</v>
      </c>
      <c r="BW26" s="4">
        <v>9.4</v>
      </c>
      <c r="BX26" s="4">
        <v>9.1999999999999993</v>
      </c>
      <c r="BY26" s="4">
        <v>9</v>
      </c>
      <c r="BZ26" s="4">
        <v>8.8000000000000007</v>
      </c>
      <c r="CA26" s="4">
        <v>8.6</v>
      </c>
      <c r="CB26" s="4">
        <v>8.4</v>
      </c>
      <c r="CC26" s="4"/>
      <c r="CD26" s="4"/>
      <c r="CE26" s="4"/>
      <c r="CF26" s="4"/>
      <c r="CG26" s="4"/>
      <c r="CH26" s="4"/>
      <c r="CI26" s="4"/>
      <c r="CJ26" s="4"/>
      <c r="CK26" s="4"/>
      <c r="CL26" s="4" t="s">
        <v>497</v>
      </c>
      <c r="CM26" s="4"/>
      <c r="CN26" s="4">
        <v>0.05</v>
      </c>
      <c r="CO26" s="4">
        <v>0.05</v>
      </c>
      <c r="CP26" s="4">
        <v>0.05</v>
      </c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492</v>
      </c>
      <c r="B27" s="4" t="s">
        <v>494</v>
      </c>
      <c r="C27" s="4" t="s">
        <v>380</v>
      </c>
      <c r="D27" s="4" t="str">
        <f>D26</f>
        <v>전형명</v>
      </c>
      <c r="E27" s="4" t="s">
        <v>155</v>
      </c>
      <c r="F27" s="4" t="s">
        <v>86</v>
      </c>
      <c r="G27" s="4" t="s">
        <v>156</v>
      </c>
      <c r="H27" s="4" t="s">
        <v>157</v>
      </c>
      <c r="I27" s="4"/>
      <c r="J27" s="4" t="s">
        <v>158</v>
      </c>
      <c r="K27" s="4">
        <v>800</v>
      </c>
      <c r="L27" s="4"/>
      <c r="M27" s="4" t="s">
        <v>160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496</v>
      </c>
      <c r="AD27" s="4"/>
      <c r="AE27" s="4">
        <v>20</v>
      </c>
      <c r="AF27" s="4">
        <v>30</v>
      </c>
      <c r="AG27" s="4">
        <v>25</v>
      </c>
      <c r="AH27" s="4"/>
      <c r="AI27" s="4">
        <v>25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100</v>
      </c>
      <c r="BL27" s="4">
        <v>95</v>
      </c>
      <c r="BM27" s="4">
        <v>90</v>
      </c>
      <c r="BN27" s="4">
        <v>85</v>
      </c>
      <c r="BO27" s="4">
        <v>80</v>
      </c>
      <c r="BP27" s="4">
        <v>75</v>
      </c>
      <c r="BQ27" s="4">
        <v>70</v>
      </c>
      <c r="BR27" s="4">
        <v>65</v>
      </c>
      <c r="BS27" s="4">
        <v>60</v>
      </c>
      <c r="BT27" s="4">
        <v>10</v>
      </c>
      <c r="BU27" s="4">
        <v>9.8000000000000007</v>
      </c>
      <c r="BV27" s="4">
        <v>9.6</v>
      </c>
      <c r="BW27" s="4">
        <v>9.4</v>
      </c>
      <c r="BX27" s="4">
        <v>9.1999999999999993</v>
      </c>
      <c r="BY27" s="4">
        <v>9</v>
      </c>
      <c r="BZ27" s="4">
        <v>8.8000000000000007</v>
      </c>
      <c r="CA27" s="4">
        <v>8.6</v>
      </c>
      <c r="CB27" s="4">
        <v>8.4</v>
      </c>
      <c r="CC27" s="4"/>
      <c r="CD27" s="4"/>
      <c r="CE27" s="4"/>
      <c r="CF27" s="4"/>
      <c r="CG27" s="4"/>
      <c r="CH27" s="4"/>
      <c r="CI27" s="4"/>
      <c r="CJ27" s="4"/>
      <c r="CK27" s="4"/>
      <c r="CL27" s="4" t="s">
        <v>497</v>
      </c>
      <c r="CM27" s="4"/>
      <c r="CN27" s="4">
        <v>0.05</v>
      </c>
      <c r="CO27" s="4">
        <v>0.05</v>
      </c>
      <c r="CP27" s="4">
        <v>0.05</v>
      </c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492</v>
      </c>
      <c r="B28" s="4" t="s">
        <v>494</v>
      </c>
      <c r="C28" s="4" t="s">
        <v>490</v>
      </c>
      <c r="D28" s="4" t="str">
        <f>D27</f>
        <v>전형명</v>
      </c>
      <c r="E28" s="4" t="s">
        <v>368</v>
      </c>
      <c r="F28" s="4" t="s">
        <v>84</v>
      </c>
      <c r="G28" s="4" t="s">
        <v>363</v>
      </c>
      <c r="H28" s="4" t="s">
        <v>369</v>
      </c>
      <c r="I28" s="4"/>
      <c r="J28" s="4" t="s">
        <v>370</v>
      </c>
      <c r="K28" s="4">
        <v>800</v>
      </c>
      <c r="L28" s="4"/>
      <c r="M28" s="4" t="s">
        <v>256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496</v>
      </c>
      <c r="AD28" s="4"/>
      <c r="AE28" s="4">
        <v>20</v>
      </c>
      <c r="AF28" s="4">
        <v>30</v>
      </c>
      <c r="AG28" s="4">
        <v>25</v>
      </c>
      <c r="AH28" s="4"/>
      <c r="AI28" s="4">
        <v>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>
        <v>100</v>
      </c>
      <c r="BL28" s="4">
        <v>95</v>
      </c>
      <c r="BM28" s="4">
        <v>90</v>
      </c>
      <c r="BN28" s="4">
        <v>85</v>
      </c>
      <c r="BO28" s="4">
        <v>80</v>
      </c>
      <c r="BP28" s="4">
        <v>75</v>
      </c>
      <c r="BQ28" s="4">
        <v>70</v>
      </c>
      <c r="BR28" s="4">
        <v>65</v>
      </c>
      <c r="BS28" s="4">
        <v>60</v>
      </c>
      <c r="BT28" s="4">
        <v>10</v>
      </c>
      <c r="BU28" s="4">
        <v>9.8000000000000007</v>
      </c>
      <c r="BV28" s="4">
        <v>9.6</v>
      </c>
      <c r="BW28" s="4">
        <v>9.4</v>
      </c>
      <c r="BX28" s="4">
        <v>9.1999999999999993</v>
      </c>
      <c r="BY28" s="4">
        <v>9</v>
      </c>
      <c r="BZ28" s="4">
        <v>8.8000000000000007</v>
      </c>
      <c r="CA28" s="4">
        <v>8.6</v>
      </c>
      <c r="CB28" s="4">
        <v>8.4</v>
      </c>
      <c r="CC28" s="4"/>
      <c r="CD28" s="4"/>
      <c r="CE28" s="4"/>
      <c r="CF28" s="4"/>
      <c r="CG28" s="4"/>
      <c r="CH28" s="4"/>
      <c r="CI28" s="4"/>
      <c r="CJ28" s="4"/>
      <c r="CK28" s="4"/>
      <c r="CL28" s="4" t="s">
        <v>497</v>
      </c>
      <c r="CM28" s="4"/>
      <c r="CN28" s="4">
        <v>0.05</v>
      </c>
      <c r="CO28" s="4">
        <v>0.05</v>
      </c>
      <c r="CP28" s="4">
        <v>0.05</v>
      </c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492</v>
      </c>
      <c r="B29" s="4" t="s">
        <v>494</v>
      </c>
      <c r="C29" s="4" t="s">
        <v>380</v>
      </c>
      <c r="D29" s="4" t="str">
        <f>D28</f>
        <v>전형명</v>
      </c>
      <c r="E29" s="4" t="s">
        <v>237</v>
      </c>
      <c r="F29" s="4" t="s">
        <v>81</v>
      </c>
      <c r="G29" s="4" t="s">
        <v>238</v>
      </c>
      <c r="H29" s="4" t="s">
        <v>81</v>
      </c>
      <c r="I29" s="4"/>
      <c r="J29" s="4" t="s">
        <v>239</v>
      </c>
      <c r="K29" s="4">
        <v>800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496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33.299999999999997</v>
      </c>
      <c r="AQ29" s="4">
        <v>33.299999999999997</v>
      </c>
      <c r="AR29" s="4">
        <v>33.299999999999997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>
        <v>100</v>
      </c>
      <c r="BL29" s="4">
        <v>95</v>
      </c>
      <c r="BM29" s="4">
        <v>90</v>
      </c>
      <c r="BN29" s="4">
        <v>85</v>
      </c>
      <c r="BO29" s="4">
        <v>80</v>
      </c>
      <c r="BP29" s="4">
        <v>75</v>
      </c>
      <c r="BQ29" s="4">
        <v>70</v>
      </c>
      <c r="BR29" s="4">
        <v>65</v>
      </c>
      <c r="BS29" s="4">
        <v>60</v>
      </c>
      <c r="BT29" s="4">
        <v>10</v>
      </c>
      <c r="BU29" s="4">
        <v>9.8000000000000007</v>
      </c>
      <c r="BV29" s="4">
        <v>9.6</v>
      </c>
      <c r="BW29" s="4">
        <v>9.4</v>
      </c>
      <c r="BX29" s="4">
        <v>9.1999999999999993</v>
      </c>
      <c r="BY29" s="4">
        <v>9</v>
      </c>
      <c r="BZ29" s="4">
        <v>8.8000000000000007</v>
      </c>
      <c r="CA29" s="4">
        <v>8.6</v>
      </c>
      <c r="CB29" s="4">
        <v>8.4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492</v>
      </c>
      <c r="B30" s="4" t="s">
        <v>494</v>
      </c>
      <c r="C30" s="4" t="s">
        <v>490</v>
      </c>
      <c r="D30" s="4" t="str">
        <f>D29</f>
        <v>전형명</v>
      </c>
      <c r="E30" s="4" t="s">
        <v>326</v>
      </c>
      <c r="F30" s="4" t="s">
        <v>87</v>
      </c>
      <c r="G30" s="4" t="s">
        <v>327</v>
      </c>
      <c r="H30" s="4" t="s">
        <v>213</v>
      </c>
      <c r="I30" s="4"/>
      <c r="J30" s="4" t="s">
        <v>328</v>
      </c>
      <c r="K30" s="4">
        <v>800</v>
      </c>
      <c r="L30" s="4"/>
      <c r="M30" s="4" t="s">
        <v>236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496</v>
      </c>
      <c r="AD30" s="4"/>
      <c r="AE30" s="4">
        <v>30</v>
      </c>
      <c r="AF30" s="4">
        <v>25</v>
      </c>
      <c r="AG30" s="4">
        <v>25</v>
      </c>
      <c r="AH30" s="4"/>
      <c r="AI30" s="4">
        <v>20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>
        <v>100</v>
      </c>
      <c r="BL30" s="4">
        <v>95</v>
      </c>
      <c r="BM30" s="4">
        <v>90</v>
      </c>
      <c r="BN30" s="4">
        <v>85</v>
      </c>
      <c r="BO30" s="4">
        <v>80</v>
      </c>
      <c r="BP30" s="4">
        <v>75</v>
      </c>
      <c r="BQ30" s="4">
        <v>70</v>
      </c>
      <c r="BR30" s="4">
        <v>65</v>
      </c>
      <c r="BS30" s="4">
        <v>60</v>
      </c>
      <c r="BT30" s="4">
        <v>10</v>
      </c>
      <c r="BU30" s="4">
        <v>9.8000000000000007</v>
      </c>
      <c r="BV30" s="4">
        <v>9.6</v>
      </c>
      <c r="BW30" s="4">
        <v>9.4</v>
      </c>
      <c r="BX30" s="4">
        <v>9.1999999999999993</v>
      </c>
      <c r="BY30" s="4">
        <v>9</v>
      </c>
      <c r="BZ30" s="4">
        <v>8.8000000000000007</v>
      </c>
      <c r="CA30" s="4">
        <v>8.6</v>
      </c>
      <c r="CB30" s="4">
        <v>8.4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492</v>
      </c>
      <c r="B31" s="4" t="s">
        <v>494</v>
      </c>
      <c r="C31" s="4" t="s">
        <v>490</v>
      </c>
      <c r="D31" s="4" t="str">
        <f>D30</f>
        <v>전형명</v>
      </c>
      <c r="E31" s="4" t="s">
        <v>338</v>
      </c>
      <c r="F31" s="4" t="s">
        <v>86</v>
      </c>
      <c r="G31" s="4" t="s">
        <v>339</v>
      </c>
      <c r="H31" s="4" t="s">
        <v>96</v>
      </c>
      <c r="I31" s="4"/>
      <c r="J31" s="4" t="s">
        <v>340</v>
      </c>
      <c r="K31" s="4">
        <v>800</v>
      </c>
      <c r="L31" s="4"/>
      <c r="M31" s="4" t="s">
        <v>315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496</v>
      </c>
      <c r="AD31" s="4"/>
      <c r="AE31" s="4">
        <v>25</v>
      </c>
      <c r="AF31" s="4">
        <v>25</v>
      </c>
      <c r="AG31" s="4">
        <v>25</v>
      </c>
      <c r="AH31" s="4"/>
      <c r="AI31" s="4">
        <v>25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>
        <v>100</v>
      </c>
      <c r="BL31" s="4">
        <v>95</v>
      </c>
      <c r="BM31" s="4">
        <v>90</v>
      </c>
      <c r="BN31" s="4">
        <v>85</v>
      </c>
      <c r="BO31" s="4">
        <v>80</v>
      </c>
      <c r="BP31" s="4">
        <v>75</v>
      </c>
      <c r="BQ31" s="4">
        <v>70</v>
      </c>
      <c r="BR31" s="4">
        <v>65</v>
      </c>
      <c r="BS31" s="4">
        <v>60</v>
      </c>
      <c r="BT31" s="4">
        <v>10</v>
      </c>
      <c r="BU31" s="4">
        <v>9.8000000000000007</v>
      </c>
      <c r="BV31" s="4">
        <v>9.6</v>
      </c>
      <c r="BW31" s="4">
        <v>9.4</v>
      </c>
      <c r="BX31" s="4">
        <v>9.1999999999999993</v>
      </c>
      <c r="BY31" s="4">
        <v>9</v>
      </c>
      <c r="BZ31" s="4">
        <v>8.8000000000000007</v>
      </c>
      <c r="CA31" s="4">
        <v>8.6</v>
      </c>
      <c r="CB31" s="4">
        <v>8.4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492</v>
      </c>
      <c r="B32" s="4" t="s">
        <v>494</v>
      </c>
      <c r="C32" s="4" t="s">
        <v>380</v>
      </c>
      <c r="D32" s="4" t="str">
        <f>D31</f>
        <v>전형명</v>
      </c>
      <c r="E32" s="4" t="s">
        <v>220</v>
      </c>
      <c r="F32" s="4" t="s">
        <v>128</v>
      </c>
      <c r="G32" s="4" t="s">
        <v>221</v>
      </c>
      <c r="H32" s="4" t="s">
        <v>204</v>
      </c>
      <c r="I32" s="4"/>
      <c r="J32" s="4" t="s">
        <v>222</v>
      </c>
      <c r="K32" s="4">
        <v>800</v>
      </c>
      <c r="L32" s="4"/>
      <c r="M32" s="4" t="s">
        <v>223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496</v>
      </c>
      <c r="AD32" s="4"/>
      <c r="AE32" s="4">
        <v>20</v>
      </c>
      <c r="AF32" s="4">
        <v>30</v>
      </c>
      <c r="AG32" s="4">
        <v>25</v>
      </c>
      <c r="AH32" s="4"/>
      <c r="AI32" s="4">
        <v>25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100</v>
      </c>
      <c r="BL32" s="4">
        <v>95</v>
      </c>
      <c r="BM32" s="4">
        <v>90</v>
      </c>
      <c r="BN32" s="4">
        <v>85</v>
      </c>
      <c r="BO32" s="4">
        <v>80</v>
      </c>
      <c r="BP32" s="4">
        <v>75</v>
      </c>
      <c r="BQ32" s="4">
        <v>70</v>
      </c>
      <c r="BR32" s="4">
        <v>65</v>
      </c>
      <c r="BS32" s="4">
        <v>60</v>
      </c>
      <c r="BT32" s="4">
        <v>10</v>
      </c>
      <c r="BU32" s="4">
        <v>9.8000000000000007</v>
      </c>
      <c r="BV32" s="4">
        <v>9.6</v>
      </c>
      <c r="BW32" s="4">
        <v>9.4</v>
      </c>
      <c r="BX32" s="4">
        <v>9.1999999999999993</v>
      </c>
      <c r="BY32" s="4">
        <v>9</v>
      </c>
      <c r="BZ32" s="4">
        <v>8.8000000000000007</v>
      </c>
      <c r="CA32" s="4">
        <v>8.6</v>
      </c>
      <c r="CB32" s="4">
        <v>8.4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497</v>
      </c>
      <c r="CM32" s="4"/>
      <c r="CN32" s="4">
        <v>0.05</v>
      </c>
      <c r="CO32" s="4">
        <v>0.05</v>
      </c>
      <c r="CP32" s="4">
        <v>0.05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492</v>
      </c>
      <c r="B33" s="4" t="s">
        <v>494</v>
      </c>
      <c r="C33" s="4" t="s">
        <v>490</v>
      </c>
      <c r="D33" s="4" t="str">
        <f>D32</f>
        <v>전형명</v>
      </c>
      <c r="E33" s="4" t="s">
        <v>273</v>
      </c>
      <c r="F33" s="4" t="s">
        <v>186</v>
      </c>
      <c r="G33" s="4" t="s">
        <v>274</v>
      </c>
      <c r="H33" s="4" t="s">
        <v>275</v>
      </c>
      <c r="I33" s="4"/>
      <c r="J33" s="4" t="s">
        <v>276</v>
      </c>
      <c r="K33" s="4">
        <v>800</v>
      </c>
      <c r="L33" s="4"/>
      <c r="M33" s="4" t="s">
        <v>277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496</v>
      </c>
      <c r="AD33" s="4"/>
      <c r="AE33" s="4">
        <v>20</v>
      </c>
      <c r="AF33" s="4">
        <v>30</v>
      </c>
      <c r="AG33" s="4">
        <v>25</v>
      </c>
      <c r="AH33" s="4"/>
      <c r="AI33" s="4">
        <v>25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>
        <v>100</v>
      </c>
      <c r="BL33" s="4">
        <v>95</v>
      </c>
      <c r="BM33" s="4">
        <v>90</v>
      </c>
      <c r="BN33" s="4">
        <v>85</v>
      </c>
      <c r="BO33" s="4">
        <v>80</v>
      </c>
      <c r="BP33" s="4">
        <v>75</v>
      </c>
      <c r="BQ33" s="4">
        <v>70</v>
      </c>
      <c r="BR33" s="4">
        <v>65</v>
      </c>
      <c r="BS33" s="4">
        <v>60</v>
      </c>
      <c r="BT33" s="4">
        <v>10</v>
      </c>
      <c r="BU33" s="4">
        <v>9.8000000000000007</v>
      </c>
      <c r="BV33" s="4">
        <v>9.6</v>
      </c>
      <c r="BW33" s="4">
        <v>9.4</v>
      </c>
      <c r="BX33" s="4">
        <v>9.1999999999999993</v>
      </c>
      <c r="BY33" s="4">
        <v>9</v>
      </c>
      <c r="BZ33" s="4">
        <v>8.8000000000000007</v>
      </c>
      <c r="CA33" s="4">
        <v>8.6</v>
      </c>
      <c r="CB33" s="4">
        <v>8.4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497</v>
      </c>
      <c r="CM33" s="4"/>
      <c r="CN33" s="4">
        <v>0.05</v>
      </c>
      <c r="CO33" s="4">
        <v>0.05</v>
      </c>
      <c r="CP33" s="4">
        <v>0.05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492</v>
      </c>
      <c r="B34" s="4" t="s">
        <v>494</v>
      </c>
      <c r="C34" s="4" t="s">
        <v>380</v>
      </c>
      <c r="D34" s="4" t="str">
        <f>D33</f>
        <v>전형명</v>
      </c>
      <c r="E34" s="4" t="s">
        <v>174</v>
      </c>
      <c r="F34" s="4" t="s">
        <v>86</v>
      </c>
      <c r="G34" s="4" t="s">
        <v>137</v>
      </c>
      <c r="H34" s="4" t="s">
        <v>138</v>
      </c>
      <c r="I34" s="4"/>
      <c r="J34" s="4" t="s">
        <v>175</v>
      </c>
      <c r="K34" s="4">
        <v>800</v>
      </c>
      <c r="L34" s="4"/>
      <c r="M34" s="4" t="s">
        <v>176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496</v>
      </c>
      <c r="AD34" s="4"/>
      <c r="AE34" s="4">
        <v>30</v>
      </c>
      <c r="AF34" s="4">
        <v>25</v>
      </c>
      <c r="AG34" s="4">
        <v>25</v>
      </c>
      <c r="AH34" s="4"/>
      <c r="AI34" s="4">
        <v>20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>
        <v>100</v>
      </c>
      <c r="BL34" s="4">
        <v>95</v>
      </c>
      <c r="BM34" s="4">
        <v>90</v>
      </c>
      <c r="BN34" s="4">
        <v>85</v>
      </c>
      <c r="BO34" s="4">
        <v>80</v>
      </c>
      <c r="BP34" s="4">
        <v>75</v>
      </c>
      <c r="BQ34" s="4">
        <v>70</v>
      </c>
      <c r="BR34" s="4">
        <v>65</v>
      </c>
      <c r="BS34" s="4">
        <v>60</v>
      </c>
      <c r="BT34" s="4">
        <v>10</v>
      </c>
      <c r="BU34" s="4">
        <v>9.8000000000000007</v>
      </c>
      <c r="BV34" s="4">
        <v>9.6</v>
      </c>
      <c r="BW34" s="4">
        <v>9.4</v>
      </c>
      <c r="BX34" s="4">
        <v>9.1999999999999993</v>
      </c>
      <c r="BY34" s="4">
        <v>9</v>
      </c>
      <c r="BZ34" s="4">
        <v>8.8000000000000007</v>
      </c>
      <c r="CA34" s="4">
        <v>8.6</v>
      </c>
      <c r="CB34" s="4">
        <v>8.4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492</v>
      </c>
      <c r="B35" s="4" t="s">
        <v>494</v>
      </c>
      <c r="C35" s="4" t="s">
        <v>380</v>
      </c>
      <c r="D35" s="4" t="str">
        <f>D34</f>
        <v>전형명</v>
      </c>
      <c r="E35" s="4" t="s">
        <v>211</v>
      </c>
      <c r="F35" s="4" t="s">
        <v>202</v>
      </c>
      <c r="G35" s="4" t="s">
        <v>212</v>
      </c>
      <c r="H35" s="4" t="s">
        <v>213</v>
      </c>
      <c r="I35" s="4"/>
      <c r="J35" s="4" t="s">
        <v>214</v>
      </c>
      <c r="K35" s="4">
        <v>800</v>
      </c>
      <c r="L35" s="4"/>
      <c r="M35" s="4" t="s">
        <v>215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499</v>
      </c>
      <c r="AC35" s="4" t="s">
        <v>496</v>
      </c>
      <c r="AD35" s="4"/>
      <c r="AE35" s="4">
        <v>25</v>
      </c>
      <c r="AF35" s="4">
        <v>35</v>
      </c>
      <c r="AG35" s="4">
        <v>10</v>
      </c>
      <c r="AH35" s="4"/>
      <c r="AI35" s="4">
        <v>30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>
        <v>100</v>
      </c>
      <c r="BL35" s="4">
        <v>95</v>
      </c>
      <c r="BM35" s="4">
        <v>90</v>
      </c>
      <c r="BN35" s="4">
        <v>85</v>
      </c>
      <c r="BO35" s="4">
        <v>80</v>
      </c>
      <c r="BP35" s="4">
        <v>75</v>
      </c>
      <c r="BQ35" s="4">
        <v>70</v>
      </c>
      <c r="BR35" s="4">
        <v>65</v>
      </c>
      <c r="BS35" s="4">
        <v>60</v>
      </c>
      <c r="BT35" s="4">
        <v>10</v>
      </c>
      <c r="BU35" s="4">
        <v>9.8000000000000007</v>
      </c>
      <c r="BV35" s="4">
        <v>9.6</v>
      </c>
      <c r="BW35" s="4">
        <v>9.4</v>
      </c>
      <c r="BX35" s="4">
        <v>9.1999999999999993</v>
      </c>
      <c r="BY35" s="4">
        <v>9</v>
      </c>
      <c r="BZ35" s="4">
        <v>8.8000000000000007</v>
      </c>
      <c r="CA35" s="4">
        <v>8.6</v>
      </c>
      <c r="CB35" s="4">
        <v>8.4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492</v>
      </c>
      <c r="B36" s="4" t="s">
        <v>494</v>
      </c>
      <c r="C36" s="4" t="s">
        <v>380</v>
      </c>
      <c r="D36" s="4" t="str">
        <f>D35</f>
        <v>전형명</v>
      </c>
      <c r="E36" s="4" t="s">
        <v>211</v>
      </c>
      <c r="F36" s="4" t="s">
        <v>213</v>
      </c>
      <c r="G36" s="4" t="s">
        <v>251</v>
      </c>
      <c r="H36" s="4" t="s">
        <v>82</v>
      </c>
      <c r="I36" s="4"/>
      <c r="J36" s="4" t="s">
        <v>252</v>
      </c>
      <c r="K36" s="4">
        <v>800</v>
      </c>
      <c r="L36" s="4"/>
      <c r="M36" s="4" t="s">
        <v>215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499</v>
      </c>
      <c r="AC36" s="4" t="s">
        <v>496</v>
      </c>
      <c r="AD36" s="4"/>
      <c r="AE36" s="4">
        <v>25</v>
      </c>
      <c r="AF36" s="4">
        <v>35</v>
      </c>
      <c r="AG36" s="4">
        <v>10</v>
      </c>
      <c r="AH36" s="4"/>
      <c r="AI36" s="4">
        <v>30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>
        <v>100</v>
      </c>
      <c r="BL36" s="4">
        <v>95</v>
      </c>
      <c r="BM36" s="4">
        <v>90</v>
      </c>
      <c r="BN36" s="4">
        <v>85</v>
      </c>
      <c r="BO36" s="4">
        <v>80</v>
      </c>
      <c r="BP36" s="4">
        <v>75</v>
      </c>
      <c r="BQ36" s="4">
        <v>70</v>
      </c>
      <c r="BR36" s="4">
        <v>65</v>
      </c>
      <c r="BS36" s="4">
        <v>60</v>
      </c>
      <c r="BT36" s="4">
        <v>10</v>
      </c>
      <c r="BU36" s="4">
        <v>9.8000000000000007</v>
      </c>
      <c r="BV36" s="4">
        <v>9.6</v>
      </c>
      <c r="BW36" s="4">
        <v>9.4</v>
      </c>
      <c r="BX36" s="4">
        <v>9.1999999999999993</v>
      </c>
      <c r="BY36" s="4">
        <v>9</v>
      </c>
      <c r="BZ36" s="4">
        <v>8.8000000000000007</v>
      </c>
      <c r="CA36" s="4">
        <v>8.6</v>
      </c>
      <c r="CB36" s="4">
        <v>8.4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492</v>
      </c>
      <c r="B37" s="4" t="s">
        <v>494</v>
      </c>
      <c r="C37" s="4" t="s">
        <v>380</v>
      </c>
      <c r="D37" s="4" t="str">
        <f>D36</f>
        <v>전형명</v>
      </c>
      <c r="E37" s="4" t="s">
        <v>211</v>
      </c>
      <c r="F37" s="4" t="s">
        <v>213</v>
      </c>
      <c r="G37" s="4" t="s">
        <v>251</v>
      </c>
      <c r="H37" s="4" t="s">
        <v>82</v>
      </c>
      <c r="I37" s="4"/>
      <c r="J37" s="4" t="s">
        <v>252</v>
      </c>
      <c r="K37" s="4">
        <v>800</v>
      </c>
      <c r="L37" s="4"/>
      <c r="M37" s="4" t="s">
        <v>215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499</v>
      </c>
      <c r="AC37" s="4" t="s">
        <v>496</v>
      </c>
      <c r="AD37" s="4"/>
      <c r="AE37" s="4">
        <v>25</v>
      </c>
      <c r="AF37" s="4">
        <v>35</v>
      </c>
      <c r="AG37" s="4">
        <v>10</v>
      </c>
      <c r="AH37" s="4"/>
      <c r="AI37" s="4">
        <v>30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>
        <v>100</v>
      </c>
      <c r="BL37" s="4">
        <v>95</v>
      </c>
      <c r="BM37" s="4">
        <v>90</v>
      </c>
      <c r="BN37" s="4">
        <v>85</v>
      </c>
      <c r="BO37" s="4">
        <v>80</v>
      </c>
      <c r="BP37" s="4">
        <v>75</v>
      </c>
      <c r="BQ37" s="4">
        <v>70</v>
      </c>
      <c r="BR37" s="4">
        <v>65</v>
      </c>
      <c r="BS37" s="4">
        <v>60</v>
      </c>
      <c r="BT37" s="4">
        <v>10</v>
      </c>
      <c r="BU37" s="4">
        <v>9.8000000000000007</v>
      </c>
      <c r="BV37" s="4">
        <v>9.6</v>
      </c>
      <c r="BW37" s="4">
        <v>9.4</v>
      </c>
      <c r="BX37" s="4">
        <v>9.1999999999999993</v>
      </c>
      <c r="BY37" s="4">
        <v>9</v>
      </c>
      <c r="BZ37" s="4">
        <v>8.8000000000000007</v>
      </c>
      <c r="CA37" s="4">
        <v>8.6</v>
      </c>
      <c r="CB37" s="4">
        <v>8.4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492</v>
      </c>
      <c r="B38" s="4" t="s">
        <v>494</v>
      </c>
      <c r="C38" s="4" t="s">
        <v>380</v>
      </c>
      <c r="D38" s="4" t="str">
        <f>D37</f>
        <v>전형명</v>
      </c>
      <c r="E38" s="4" t="s">
        <v>149</v>
      </c>
      <c r="F38" s="4" t="s">
        <v>85</v>
      </c>
      <c r="G38" s="4" t="s">
        <v>150</v>
      </c>
      <c r="H38" s="4" t="s">
        <v>96</v>
      </c>
      <c r="I38" s="4"/>
      <c r="J38" s="4" t="s">
        <v>151</v>
      </c>
      <c r="K38" s="4">
        <v>800</v>
      </c>
      <c r="L38" s="4"/>
      <c r="M38" s="4" t="s">
        <v>144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496</v>
      </c>
      <c r="AD38" s="4"/>
      <c r="AE38" s="4">
        <v>30</v>
      </c>
      <c r="AF38" s="4">
        <v>25</v>
      </c>
      <c r="AG38" s="4">
        <v>25</v>
      </c>
      <c r="AH38" s="4"/>
      <c r="AI38" s="4">
        <v>20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>
        <v>100</v>
      </c>
      <c r="BL38" s="4">
        <v>95</v>
      </c>
      <c r="BM38" s="4">
        <v>90</v>
      </c>
      <c r="BN38" s="4">
        <v>85</v>
      </c>
      <c r="BO38" s="4">
        <v>80</v>
      </c>
      <c r="BP38" s="4">
        <v>75</v>
      </c>
      <c r="BQ38" s="4">
        <v>70</v>
      </c>
      <c r="BR38" s="4">
        <v>65</v>
      </c>
      <c r="BS38" s="4">
        <v>60</v>
      </c>
      <c r="BT38" s="4">
        <v>10</v>
      </c>
      <c r="BU38" s="4">
        <v>9.8000000000000007</v>
      </c>
      <c r="BV38" s="4">
        <v>9.6</v>
      </c>
      <c r="BW38" s="4">
        <v>9.4</v>
      </c>
      <c r="BX38" s="4">
        <v>9.1999999999999993</v>
      </c>
      <c r="BY38" s="4">
        <v>9</v>
      </c>
      <c r="BZ38" s="4">
        <v>8.8000000000000007</v>
      </c>
      <c r="CA38" s="4">
        <v>8.6</v>
      </c>
      <c r="CB38" s="4">
        <v>8.4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492</v>
      </c>
      <c r="B39" s="4" t="s">
        <v>494</v>
      </c>
      <c r="C39" s="4" t="s">
        <v>490</v>
      </c>
      <c r="D39" s="4" t="str">
        <f>D38</f>
        <v>전형명</v>
      </c>
      <c r="E39" s="4" t="s">
        <v>357</v>
      </c>
      <c r="F39" s="4" t="s">
        <v>342</v>
      </c>
      <c r="G39" s="4" t="s">
        <v>358</v>
      </c>
      <c r="H39" s="4" t="s">
        <v>359</v>
      </c>
      <c r="I39" s="4"/>
      <c r="J39" s="4" t="s">
        <v>360</v>
      </c>
      <c r="K39" s="4">
        <v>800</v>
      </c>
      <c r="L39" s="4"/>
      <c r="M39" s="4" t="s">
        <v>361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496</v>
      </c>
      <c r="AD39" s="4"/>
      <c r="AE39" s="4">
        <v>30</v>
      </c>
      <c r="AF39" s="4">
        <v>25</v>
      </c>
      <c r="AG39" s="4">
        <v>25</v>
      </c>
      <c r="AH39" s="4"/>
      <c r="AI39" s="4">
        <v>20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>
        <v>100</v>
      </c>
      <c r="BL39" s="4">
        <v>95</v>
      </c>
      <c r="BM39" s="4">
        <v>90</v>
      </c>
      <c r="BN39" s="4">
        <v>85</v>
      </c>
      <c r="BO39" s="4">
        <v>80</v>
      </c>
      <c r="BP39" s="4">
        <v>75</v>
      </c>
      <c r="BQ39" s="4">
        <v>70</v>
      </c>
      <c r="BR39" s="4">
        <v>65</v>
      </c>
      <c r="BS39" s="4">
        <v>60</v>
      </c>
      <c r="BT39" s="4">
        <v>10</v>
      </c>
      <c r="BU39" s="4">
        <v>9.8000000000000007</v>
      </c>
      <c r="BV39" s="4">
        <v>9.6</v>
      </c>
      <c r="BW39" s="4">
        <v>9.4</v>
      </c>
      <c r="BX39" s="4">
        <v>9.1999999999999993</v>
      </c>
      <c r="BY39" s="4">
        <v>9</v>
      </c>
      <c r="BZ39" s="4">
        <v>8.8000000000000007</v>
      </c>
      <c r="CA39" s="4">
        <v>8.6</v>
      </c>
      <c r="CB39" s="4">
        <v>8.4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492</v>
      </c>
      <c r="B40" s="4" t="s">
        <v>494</v>
      </c>
      <c r="C40" s="4" t="s">
        <v>380</v>
      </c>
      <c r="D40" s="4" t="str">
        <f>D39</f>
        <v>전형명</v>
      </c>
      <c r="E40" s="4" t="s">
        <v>135</v>
      </c>
      <c r="F40" s="4" t="s">
        <v>136</v>
      </c>
      <c r="G40" s="4" t="s">
        <v>137</v>
      </c>
      <c r="H40" s="4" t="s">
        <v>138</v>
      </c>
      <c r="I40" s="4"/>
      <c r="J40" s="4" t="s">
        <v>139</v>
      </c>
      <c r="K40" s="4">
        <v>800</v>
      </c>
      <c r="L40" s="4"/>
      <c r="M40" s="4" t="s">
        <v>140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496</v>
      </c>
      <c r="AD40" s="4"/>
      <c r="AE40" s="4">
        <v>30</v>
      </c>
      <c r="AF40" s="4">
        <v>25</v>
      </c>
      <c r="AG40" s="4">
        <v>25</v>
      </c>
      <c r="AH40" s="4"/>
      <c r="AI40" s="4">
        <v>20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>
        <v>100</v>
      </c>
      <c r="BL40" s="4">
        <v>95</v>
      </c>
      <c r="BM40" s="4">
        <v>90</v>
      </c>
      <c r="BN40" s="4">
        <v>85</v>
      </c>
      <c r="BO40" s="4">
        <v>80</v>
      </c>
      <c r="BP40" s="4">
        <v>75</v>
      </c>
      <c r="BQ40" s="4">
        <v>70</v>
      </c>
      <c r="BR40" s="4">
        <v>65</v>
      </c>
      <c r="BS40" s="4">
        <v>60</v>
      </c>
      <c r="BT40" s="4">
        <v>10</v>
      </c>
      <c r="BU40" s="4">
        <v>9.8000000000000007</v>
      </c>
      <c r="BV40" s="4">
        <v>9.6</v>
      </c>
      <c r="BW40" s="4">
        <v>9.4</v>
      </c>
      <c r="BX40" s="4">
        <v>9.1999999999999993</v>
      </c>
      <c r="BY40" s="4">
        <v>9</v>
      </c>
      <c r="BZ40" s="4">
        <v>8.8000000000000007</v>
      </c>
      <c r="CA40" s="4">
        <v>8.6</v>
      </c>
      <c r="CB40" s="4">
        <v>8.4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492</v>
      </c>
      <c r="B41" s="4" t="s">
        <v>494</v>
      </c>
      <c r="C41" s="4" t="s">
        <v>490</v>
      </c>
      <c r="D41" s="4" t="str">
        <f>D40</f>
        <v>전형명</v>
      </c>
      <c r="E41" s="4" t="s">
        <v>329</v>
      </c>
      <c r="F41" s="4" t="s">
        <v>83</v>
      </c>
      <c r="G41" s="4" t="s">
        <v>330</v>
      </c>
      <c r="H41" s="4" t="s">
        <v>83</v>
      </c>
      <c r="I41" s="4"/>
      <c r="J41" s="4" t="s">
        <v>331</v>
      </c>
      <c r="K41" s="4">
        <v>800</v>
      </c>
      <c r="L41" s="4"/>
      <c r="M41" s="4" t="s">
        <v>223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496</v>
      </c>
      <c r="AD41" s="4"/>
      <c r="AE41" s="4">
        <v>25</v>
      </c>
      <c r="AF41" s="4">
        <v>25</v>
      </c>
      <c r="AG41" s="4">
        <v>25</v>
      </c>
      <c r="AH41" s="4"/>
      <c r="AI41" s="4">
        <v>25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>
        <v>100</v>
      </c>
      <c r="BL41" s="4">
        <v>95</v>
      </c>
      <c r="BM41" s="4">
        <v>90</v>
      </c>
      <c r="BN41" s="4">
        <v>85</v>
      </c>
      <c r="BO41" s="4">
        <v>80</v>
      </c>
      <c r="BP41" s="4">
        <v>75</v>
      </c>
      <c r="BQ41" s="4">
        <v>70</v>
      </c>
      <c r="BR41" s="4">
        <v>65</v>
      </c>
      <c r="BS41" s="4">
        <v>60</v>
      </c>
      <c r="BT41" s="4">
        <v>10</v>
      </c>
      <c r="BU41" s="4">
        <v>9.8000000000000007</v>
      </c>
      <c r="BV41" s="4">
        <v>9.6</v>
      </c>
      <c r="BW41" s="4">
        <v>9.4</v>
      </c>
      <c r="BX41" s="4">
        <v>9.1999999999999993</v>
      </c>
      <c r="BY41" s="4">
        <v>9</v>
      </c>
      <c r="BZ41" s="4">
        <v>8.8000000000000007</v>
      </c>
      <c r="CA41" s="4">
        <v>8.6</v>
      </c>
      <c r="CB41" s="4">
        <v>8.4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492</v>
      </c>
      <c r="B42" s="4" t="s">
        <v>494</v>
      </c>
      <c r="C42" s="4" t="s">
        <v>380</v>
      </c>
      <c r="D42" s="4" t="str">
        <f>D41</f>
        <v>전형명</v>
      </c>
      <c r="E42" s="4" t="s">
        <v>141</v>
      </c>
      <c r="F42" s="4" t="s">
        <v>85</v>
      </c>
      <c r="G42" s="4" t="s">
        <v>142</v>
      </c>
      <c r="H42" s="4" t="s">
        <v>83</v>
      </c>
      <c r="I42" s="4"/>
      <c r="J42" s="4" t="s">
        <v>143</v>
      </c>
      <c r="K42" s="4">
        <v>800</v>
      </c>
      <c r="L42" s="4"/>
      <c r="M42" s="4" t="s">
        <v>144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496</v>
      </c>
      <c r="AD42" s="4"/>
      <c r="AE42" s="4">
        <v>30</v>
      </c>
      <c r="AF42" s="4">
        <v>25</v>
      </c>
      <c r="AG42" s="4">
        <v>25</v>
      </c>
      <c r="AH42" s="4"/>
      <c r="AI42" s="4">
        <v>20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>
        <v>100</v>
      </c>
      <c r="BL42" s="4">
        <v>95</v>
      </c>
      <c r="BM42" s="4">
        <v>90</v>
      </c>
      <c r="BN42" s="4">
        <v>85</v>
      </c>
      <c r="BO42" s="4">
        <v>80</v>
      </c>
      <c r="BP42" s="4">
        <v>75</v>
      </c>
      <c r="BQ42" s="4">
        <v>70</v>
      </c>
      <c r="BR42" s="4">
        <v>65</v>
      </c>
      <c r="BS42" s="4">
        <v>60</v>
      </c>
      <c r="BT42" s="4">
        <v>10</v>
      </c>
      <c r="BU42" s="4">
        <v>9.8000000000000007</v>
      </c>
      <c r="BV42" s="4">
        <v>9.6</v>
      </c>
      <c r="BW42" s="4">
        <v>9.4</v>
      </c>
      <c r="BX42" s="4">
        <v>9.1999999999999993</v>
      </c>
      <c r="BY42" s="4">
        <v>9</v>
      </c>
      <c r="BZ42" s="4">
        <v>8.8000000000000007</v>
      </c>
      <c r="CA42" s="4">
        <v>8.6</v>
      </c>
      <c r="CB42" s="4">
        <v>8.4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492</v>
      </c>
      <c r="B43" s="4" t="s">
        <v>494</v>
      </c>
      <c r="C43" s="4" t="s">
        <v>490</v>
      </c>
      <c r="D43" s="4" t="str">
        <f>D42</f>
        <v>전형명</v>
      </c>
      <c r="E43" s="4" t="s">
        <v>366</v>
      </c>
      <c r="F43" s="4" t="s">
        <v>85</v>
      </c>
      <c r="G43" s="4" t="s">
        <v>367</v>
      </c>
      <c r="H43" s="4" t="s">
        <v>96</v>
      </c>
      <c r="I43" s="4"/>
      <c r="J43" s="4" t="s">
        <v>350</v>
      </c>
      <c r="K43" s="4">
        <v>800</v>
      </c>
      <c r="L43" s="4"/>
      <c r="M43" s="4" t="s">
        <v>351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496</v>
      </c>
      <c r="AD43" s="4"/>
      <c r="AE43" s="4">
        <v>30</v>
      </c>
      <c r="AF43" s="4">
        <v>25</v>
      </c>
      <c r="AG43" s="4">
        <v>25</v>
      </c>
      <c r="AH43" s="4"/>
      <c r="AI43" s="4">
        <v>20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>
        <v>100</v>
      </c>
      <c r="BL43" s="4">
        <v>95</v>
      </c>
      <c r="BM43" s="4">
        <v>90</v>
      </c>
      <c r="BN43" s="4">
        <v>85</v>
      </c>
      <c r="BO43" s="4">
        <v>80</v>
      </c>
      <c r="BP43" s="4">
        <v>75</v>
      </c>
      <c r="BQ43" s="4">
        <v>70</v>
      </c>
      <c r="BR43" s="4">
        <v>65</v>
      </c>
      <c r="BS43" s="4">
        <v>60</v>
      </c>
      <c r="BT43" s="4">
        <v>10</v>
      </c>
      <c r="BU43" s="4">
        <v>9.8000000000000007</v>
      </c>
      <c r="BV43" s="4">
        <v>9.6</v>
      </c>
      <c r="BW43" s="4">
        <v>9.4</v>
      </c>
      <c r="BX43" s="4">
        <v>9.1999999999999993</v>
      </c>
      <c r="BY43" s="4">
        <v>9</v>
      </c>
      <c r="BZ43" s="4">
        <v>8.8000000000000007</v>
      </c>
      <c r="CA43" s="4">
        <v>8.6</v>
      </c>
      <c r="CB43" s="4">
        <v>8.4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492</v>
      </c>
      <c r="B44" s="4" t="s">
        <v>494</v>
      </c>
      <c r="C44" s="4" t="s">
        <v>380</v>
      </c>
      <c r="D44" s="4" t="str">
        <f>D43</f>
        <v>전형명</v>
      </c>
      <c r="E44" s="4" t="s">
        <v>229</v>
      </c>
      <c r="F44" s="4" t="s">
        <v>86</v>
      </c>
      <c r="G44" s="4" t="s">
        <v>230</v>
      </c>
      <c r="H44" s="4" t="s">
        <v>231</v>
      </c>
      <c r="I44" s="4"/>
      <c r="J44" s="4" t="s">
        <v>232</v>
      </c>
      <c r="K44" s="4">
        <v>800</v>
      </c>
      <c r="L44" s="4"/>
      <c r="M44" s="4" t="s">
        <v>205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496</v>
      </c>
      <c r="AD44" s="4"/>
      <c r="AE44" s="4">
        <v>25</v>
      </c>
      <c r="AF44" s="4">
        <v>25</v>
      </c>
      <c r="AG44" s="4">
        <v>25</v>
      </c>
      <c r="AH44" s="4"/>
      <c r="AI44" s="4">
        <v>25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>
        <v>100</v>
      </c>
      <c r="BL44" s="4">
        <v>95</v>
      </c>
      <c r="BM44" s="4">
        <v>90</v>
      </c>
      <c r="BN44" s="4">
        <v>85</v>
      </c>
      <c r="BO44" s="4">
        <v>80</v>
      </c>
      <c r="BP44" s="4">
        <v>75</v>
      </c>
      <c r="BQ44" s="4">
        <v>70</v>
      </c>
      <c r="BR44" s="4">
        <v>65</v>
      </c>
      <c r="BS44" s="4">
        <v>60</v>
      </c>
      <c r="BT44" s="4">
        <v>10</v>
      </c>
      <c r="BU44" s="4">
        <v>9.8000000000000007</v>
      </c>
      <c r="BV44" s="4">
        <v>9.6</v>
      </c>
      <c r="BW44" s="4">
        <v>9.4</v>
      </c>
      <c r="BX44" s="4">
        <v>9.1999999999999993</v>
      </c>
      <c r="BY44" s="4">
        <v>9</v>
      </c>
      <c r="BZ44" s="4">
        <v>8.8000000000000007</v>
      </c>
      <c r="CA44" s="4">
        <v>8.6</v>
      </c>
      <c r="CB44" s="4">
        <v>8.4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492</v>
      </c>
      <c r="B45" s="4" t="s">
        <v>494</v>
      </c>
      <c r="C45" s="4" t="s">
        <v>490</v>
      </c>
      <c r="D45" s="4" t="str">
        <f>D44</f>
        <v>전형명</v>
      </c>
      <c r="E45" s="4" t="s">
        <v>345</v>
      </c>
      <c r="F45" s="4" t="s">
        <v>83</v>
      </c>
      <c r="G45" s="4" t="s">
        <v>346</v>
      </c>
      <c r="H45" s="4" t="s">
        <v>204</v>
      </c>
      <c r="I45" s="4"/>
      <c r="J45" s="4" t="s">
        <v>347</v>
      </c>
      <c r="K45" s="4">
        <v>800</v>
      </c>
      <c r="L45" s="4"/>
      <c r="M45" s="4" t="s">
        <v>348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496</v>
      </c>
      <c r="AD45" s="4"/>
      <c r="AE45" s="4">
        <v>20</v>
      </c>
      <c r="AF45" s="4">
        <v>30</v>
      </c>
      <c r="AG45" s="4">
        <v>25</v>
      </c>
      <c r="AH45" s="4"/>
      <c r="AI45" s="4">
        <v>25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>
        <v>100</v>
      </c>
      <c r="BL45" s="4">
        <v>95</v>
      </c>
      <c r="BM45" s="4">
        <v>90</v>
      </c>
      <c r="BN45" s="4">
        <v>85</v>
      </c>
      <c r="BO45" s="4">
        <v>80</v>
      </c>
      <c r="BP45" s="4">
        <v>75</v>
      </c>
      <c r="BQ45" s="4">
        <v>70</v>
      </c>
      <c r="BR45" s="4">
        <v>65</v>
      </c>
      <c r="BS45" s="4">
        <v>60</v>
      </c>
      <c r="BT45" s="4">
        <v>10</v>
      </c>
      <c r="BU45" s="4">
        <v>9.8000000000000007</v>
      </c>
      <c r="BV45" s="4">
        <v>9.6</v>
      </c>
      <c r="BW45" s="4">
        <v>9.4</v>
      </c>
      <c r="BX45" s="4">
        <v>9.1999999999999993</v>
      </c>
      <c r="BY45" s="4">
        <v>9</v>
      </c>
      <c r="BZ45" s="4">
        <v>8.8000000000000007</v>
      </c>
      <c r="CA45" s="4">
        <v>8.6</v>
      </c>
      <c r="CB45" s="4">
        <v>8.4</v>
      </c>
      <c r="CC45" s="4"/>
      <c r="CD45" s="4"/>
      <c r="CE45" s="4"/>
      <c r="CF45" s="4"/>
      <c r="CG45" s="4"/>
      <c r="CH45" s="4"/>
      <c r="CI45" s="4"/>
      <c r="CJ45" s="4"/>
      <c r="CK45" s="4"/>
      <c r="CL45" s="4" t="s">
        <v>497</v>
      </c>
      <c r="CM45" s="4"/>
      <c r="CN45" s="4">
        <v>0.05</v>
      </c>
      <c r="CO45" s="4">
        <v>0.05</v>
      </c>
      <c r="CP45" s="4">
        <v>0.05</v>
      </c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492</v>
      </c>
      <c r="B46" s="4" t="s">
        <v>494</v>
      </c>
      <c r="C46" s="4" t="s">
        <v>380</v>
      </c>
      <c r="D46" s="4" t="str">
        <f>D45</f>
        <v>전형명</v>
      </c>
      <c r="E46" s="4" t="s">
        <v>206</v>
      </c>
      <c r="F46" s="4" t="s">
        <v>197</v>
      </c>
      <c r="G46" s="4" t="s">
        <v>207</v>
      </c>
      <c r="H46" s="4" t="s">
        <v>208</v>
      </c>
      <c r="I46" s="4"/>
      <c r="J46" s="4" t="s">
        <v>209</v>
      </c>
      <c r="K46" s="4">
        <v>800</v>
      </c>
      <c r="L46" s="4"/>
      <c r="M46" s="4" t="s">
        <v>210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499</v>
      </c>
      <c r="AC46" s="4" t="s">
        <v>496</v>
      </c>
      <c r="AD46" s="4"/>
      <c r="AE46" s="4">
        <v>25</v>
      </c>
      <c r="AF46" s="4">
        <v>35</v>
      </c>
      <c r="AG46" s="4">
        <v>10</v>
      </c>
      <c r="AH46" s="4"/>
      <c r="AI46" s="4">
        <v>30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>
        <v>100</v>
      </c>
      <c r="BL46" s="4">
        <v>95</v>
      </c>
      <c r="BM46" s="4">
        <v>90</v>
      </c>
      <c r="BN46" s="4">
        <v>85</v>
      </c>
      <c r="BO46" s="4">
        <v>80</v>
      </c>
      <c r="BP46" s="4">
        <v>75</v>
      </c>
      <c r="BQ46" s="4">
        <v>70</v>
      </c>
      <c r="BR46" s="4">
        <v>65</v>
      </c>
      <c r="BS46" s="4">
        <v>60</v>
      </c>
      <c r="BT46" s="4">
        <v>10</v>
      </c>
      <c r="BU46" s="4">
        <v>9.8000000000000007</v>
      </c>
      <c r="BV46" s="4">
        <v>9.6</v>
      </c>
      <c r="BW46" s="4">
        <v>9.4</v>
      </c>
      <c r="BX46" s="4">
        <v>9.1999999999999993</v>
      </c>
      <c r="BY46" s="4">
        <v>9</v>
      </c>
      <c r="BZ46" s="4">
        <v>8.8000000000000007</v>
      </c>
      <c r="CA46" s="4">
        <v>8.6</v>
      </c>
      <c r="CB46" s="4">
        <v>8.4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492</v>
      </c>
      <c r="B47" s="4" t="s">
        <v>494</v>
      </c>
      <c r="C47" s="4" t="s">
        <v>380</v>
      </c>
      <c r="D47" s="4" t="str">
        <f>D46</f>
        <v>전형명</v>
      </c>
      <c r="E47" s="4" t="s">
        <v>206</v>
      </c>
      <c r="F47" s="4" t="s">
        <v>213</v>
      </c>
      <c r="G47" s="4" t="s">
        <v>248</v>
      </c>
      <c r="H47" s="4" t="s">
        <v>96</v>
      </c>
      <c r="I47" s="4"/>
      <c r="J47" s="4" t="s">
        <v>249</v>
      </c>
      <c r="K47" s="4">
        <v>800</v>
      </c>
      <c r="L47" s="4"/>
      <c r="M47" s="4" t="s">
        <v>250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499</v>
      </c>
      <c r="AC47" s="4" t="s">
        <v>496</v>
      </c>
      <c r="AD47" s="4"/>
      <c r="AE47" s="4">
        <v>25</v>
      </c>
      <c r="AF47" s="4">
        <v>35</v>
      </c>
      <c r="AG47" s="4">
        <v>10</v>
      </c>
      <c r="AH47" s="4"/>
      <c r="AI47" s="4">
        <v>30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>
        <v>100</v>
      </c>
      <c r="BL47" s="4">
        <v>95</v>
      </c>
      <c r="BM47" s="4">
        <v>90</v>
      </c>
      <c r="BN47" s="4">
        <v>85</v>
      </c>
      <c r="BO47" s="4">
        <v>80</v>
      </c>
      <c r="BP47" s="4">
        <v>75</v>
      </c>
      <c r="BQ47" s="4">
        <v>70</v>
      </c>
      <c r="BR47" s="4">
        <v>65</v>
      </c>
      <c r="BS47" s="4">
        <v>60</v>
      </c>
      <c r="BT47" s="4">
        <v>10</v>
      </c>
      <c r="BU47" s="4">
        <v>9.8000000000000007</v>
      </c>
      <c r="BV47" s="4">
        <v>9.6</v>
      </c>
      <c r="BW47" s="4">
        <v>9.4</v>
      </c>
      <c r="BX47" s="4">
        <v>9.1999999999999993</v>
      </c>
      <c r="BY47" s="4">
        <v>9</v>
      </c>
      <c r="BZ47" s="4">
        <v>8.8000000000000007</v>
      </c>
      <c r="CA47" s="4">
        <v>8.6</v>
      </c>
      <c r="CB47" s="4">
        <v>8.4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492</v>
      </c>
      <c r="B48" s="4" t="s">
        <v>494</v>
      </c>
      <c r="C48" s="4" t="s">
        <v>380</v>
      </c>
      <c r="D48" s="4" t="str">
        <f>D47</f>
        <v>전형명</v>
      </c>
      <c r="E48" s="4" t="s">
        <v>206</v>
      </c>
      <c r="F48" s="4" t="s">
        <v>213</v>
      </c>
      <c r="G48" s="4" t="s">
        <v>248</v>
      </c>
      <c r="H48" s="4" t="s">
        <v>96</v>
      </c>
      <c r="I48" s="4"/>
      <c r="J48" s="4" t="s">
        <v>249</v>
      </c>
      <c r="K48" s="4">
        <v>800</v>
      </c>
      <c r="L48" s="4"/>
      <c r="M48" s="4" t="s">
        <v>250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499</v>
      </c>
      <c r="AC48" s="4" t="s">
        <v>496</v>
      </c>
      <c r="AD48" s="4"/>
      <c r="AE48" s="4">
        <v>25</v>
      </c>
      <c r="AF48" s="4">
        <v>35</v>
      </c>
      <c r="AG48" s="4">
        <v>10</v>
      </c>
      <c r="AH48" s="4"/>
      <c r="AI48" s="4">
        <v>30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>
        <v>100</v>
      </c>
      <c r="BL48" s="4">
        <v>95</v>
      </c>
      <c r="BM48" s="4">
        <v>90</v>
      </c>
      <c r="BN48" s="4">
        <v>85</v>
      </c>
      <c r="BO48" s="4">
        <v>80</v>
      </c>
      <c r="BP48" s="4">
        <v>75</v>
      </c>
      <c r="BQ48" s="4">
        <v>70</v>
      </c>
      <c r="BR48" s="4">
        <v>65</v>
      </c>
      <c r="BS48" s="4">
        <v>60</v>
      </c>
      <c r="BT48" s="4">
        <v>10</v>
      </c>
      <c r="BU48" s="4">
        <v>9.8000000000000007</v>
      </c>
      <c r="BV48" s="4">
        <v>9.6</v>
      </c>
      <c r="BW48" s="4">
        <v>9.4</v>
      </c>
      <c r="BX48" s="4">
        <v>9.1999999999999993</v>
      </c>
      <c r="BY48" s="4">
        <v>9</v>
      </c>
      <c r="BZ48" s="4">
        <v>8.8000000000000007</v>
      </c>
      <c r="CA48" s="4">
        <v>8.6</v>
      </c>
      <c r="CB48" s="4">
        <v>8.4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492</v>
      </c>
      <c r="B49" s="4" t="s">
        <v>494</v>
      </c>
      <c r="C49" s="4" t="s">
        <v>380</v>
      </c>
      <c r="D49" s="4" t="str">
        <f>D48</f>
        <v>전형명</v>
      </c>
      <c r="E49" s="4" t="s">
        <v>131</v>
      </c>
      <c r="F49" s="4" t="s">
        <v>83</v>
      </c>
      <c r="G49" s="4" t="s">
        <v>132</v>
      </c>
      <c r="H49" s="4" t="s">
        <v>82</v>
      </c>
      <c r="I49" s="4"/>
      <c r="J49" s="4" t="s">
        <v>133</v>
      </c>
      <c r="K49" s="4">
        <v>800</v>
      </c>
      <c r="L49" s="4"/>
      <c r="M49" s="4" t="s">
        <v>134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496</v>
      </c>
      <c r="AD49" s="4"/>
      <c r="AE49" s="4">
        <v>30</v>
      </c>
      <c r="AF49" s="4">
        <v>25</v>
      </c>
      <c r="AG49" s="4">
        <v>25</v>
      </c>
      <c r="AH49" s="4"/>
      <c r="AI49" s="4">
        <v>20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>
        <v>100</v>
      </c>
      <c r="BL49" s="4">
        <v>95</v>
      </c>
      <c r="BM49" s="4">
        <v>90</v>
      </c>
      <c r="BN49" s="4">
        <v>85</v>
      </c>
      <c r="BO49" s="4">
        <v>80</v>
      </c>
      <c r="BP49" s="4">
        <v>75</v>
      </c>
      <c r="BQ49" s="4">
        <v>70</v>
      </c>
      <c r="BR49" s="4">
        <v>65</v>
      </c>
      <c r="BS49" s="4">
        <v>60</v>
      </c>
      <c r="BT49" s="4">
        <v>10</v>
      </c>
      <c r="BU49" s="4">
        <v>9.8000000000000007</v>
      </c>
      <c r="BV49" s="4">
        <v>9.6</v>
      </c>
      <c r="BW49" s="4">
        <v>9.4</v>
      </c>
      <c r="BX49" s="4">
        <v>9.1999999999999993</v>
      </c>
      <c r="BY49" s="4">
        <v>9</v>
      </c>
      <c r="BZ49" s="4">
        <v>8.8000000000000007</v>
      </c>
      <c r="CA49" s="4">
        <v>8.6</v>
      </c>
      <c r="CB49" s="4">
        <v>8.4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493</v>
      </c>
      <c r="B50" s="4" t="s">
        <v>495</v>
      </c>
      <c r="C50" s="4" t="s">
        <v>118</v>
      </c>
      <c r="D50" s="4" t="s">
        <v>498</v>
      </c>
      <c r="E50" s="4" t="s">
        <v>119</v>
      </c>
      <c r="F50" s="4" t="s">
        <v>120</v>
      </c>
      <c r="G50" s="4" t="s">
        <v>121</v>
      </c>
      <c r="H50" s="4" t="s">
        <v>122</v>
      </c>
      <c r="I50" s="4"/>
      <c r="J50" s="4" t="s">
        <v>123</v>
      </c>
      <c r="K50" s="4">
        <v>800</v>
      </c>
      <c r="L50" s="4"/>
      <c r="M50" s="4" t="s">
        <v>125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496</v>
      </c>
      <c r="AD50" s="4"/>
      <c r="AE50" s="4">
        <v>25</v>
      </c>
      <c r="AF50" s="4">
        <v>25</v>
      </c>
      <c r="AG50" s="4">
        <v>25</v>
      </c>
      <c r="AH50" s="4"/>
      <c r="AI50" s="4">
        <v>25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>
        <v>100</v>
      </c>
      <c r="BL50" s="4">
        <v>95</v>
      </c>
      <c r="BM50" s="4">
        <v>90</v>
      </c>
      <c r="BN50" s="4">
        <v>85</v>
      </c>
      <c r="BO50" s="4">
        <v>80</v>
      </c>
      <c r="BP50" s="4">
        <v>75</v>
      </c>
      <c r="BQ50" s="4">
        <v>70</v>
      </c>
      <c r="BR50" s="4">
        <v>65</v>
      </c>
      <c r="BS50" s="4">
        <v>60</v>
      </c>
      <c r="BT50" s="4">
        <v>10</v>
      </c>
      <c r="BU50" s="4">
        <v>9.8000000000000007</v>
      </c>
      <c r="BV50" s="4">
        <v>9.6</v>
      </c>
      <c r="BW50" s="4">
        <v>9.4</v>
      </c>
      <c r="BX50" s="4">
        <v>9.1999999999999993</v>
      </c>
      <c r="BY50" s="4">
        <v>9</v>
      </c>
      <c r="BZ50" s="4">
        <v>8.8000000000000007</v>
      </c>
      <c r="CA50" s="4">
        <v>8.6</v>
      </c>
      <c r="CB50" s="4">
        <v>8.4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492</v>
      </c>
      <c r="B51" s="4" t="s">
        <v>494</v>
      </c>
      <c r="C51" s="4" t="s">
        <v>490</v>
      </c>
      <c r="D51" s="4" t="str">
        <f>D50</f>
        <v>일반학생전형</v>
      </c>
      <c r="E51" s="4" t="s">
        <v>278</v>
      </c>
      <c r="F51" s="4" t="s">
        <v>213</v>
      </c>
      <c r="G51" s="4" t="s">
        <v>248</v>
      </c>
      <c r="H51" s="4" t="s">
        <v>197</v>
      </c>
      <c r="I51" s="4"/>
      <c r="J51" s="4" t="s">
        <v>279</v>
      </c>
      <c r="K51" s="4">
        <v>800</v>
      </c>
      <c r="L51" s="4"/>
      <c r="M51" s="4" t="s">
        <v>223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496</v>
      </c>
      <c r="AD51" s="4"/>
      <c r="AE51" s="4">
        <v>20</v>
      </c>
      <c r="AF51" s="4">
        <v>30</v>
      </c>
      <c r="AG51" s="4">
        <v>25</v>
      </c>
      <c r="AH51" s="4"/>
      <c r="AI51" s="4">
        <v>25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>
        <v>100</v>
      </c>
      <c r="BL51" s="4">
        <v>95</v>
      </c>
      <c r="BM51" s="4">
        <v>90</v>
      </c>
      <c r="BN51" s="4">
        <v>85</v>
      </c>
      <c r="BO51" s="4">
        <v>80</v>
      </c>
      <c r="BP51" s="4">
        <v>75</v>
      </c>
      <c r="BQ51" s="4">
        <v>70</v>
      </c>
      <c r="BR51" s="4">
        <v>65</v>
      </c>
      <c r="BS51" s="4">
        <v>60</v>
      </c>
      <c r="BT51" s="4">
        <v>10</v>
      </c>
      <c r="BU51" s="4">
        <v>9.8000000000000007</v>
      </c>
      <c r="BV51" s="4">
        <v>9.6</v>
      </c>
      <c r="BW51" s="4">
        <v>9.4</v>
      </c>
      <c r="BX51" s="4">
        <v>9.1999999999999993</v>
      </c>
      <c r="BY51" s="4">
        <v>9</v>
      </c>
      <c r="BZ51" s="4">
        <v>8.8000000000000007</v>
      </c>
      <c r="CA51" s="4">
        <v>8.6</v>
      </c>
      <c r="CB51" s="4">
        <v>8.4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497</v>
      </c>
      <c r="CM51" s="4"/>
      <c r="CN51" s="4">
        <v>0.05</v>
      </c>
      <c r="CO51" s="4">
        <v>0.05</v>
      </c>
      <c r="CP51" s="4">
        <v>0.05</v>
      </c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492</v>
      </c>
      <c r="B52" s="4" t="s">
        <v>494</v>
      </c>
      <c r="C52" s="4" t="s">
        <v>490</v>
      </c>
      <c r="D52" s="4" t="str">
        <f>D51</f>
        <v>일반학생전형</v>
      </c>
      <c r="E52" s="4" t="s">
        <v>289</v>
      </c>
      <c r="F52" s="4" t="s">
        <v>204</v>
      </c>
      <c r="G52" s="4" t="s">
        <v>290</v>
      </c>
      <c r="H52" s="4" t="s">
        <v>291</v>
      </c>
      <c r="I52" s="4"/>
      <c r="J52" s="4" t="s">
        <v>292</v>
      </c>
      <c r="K52" s="4">
        <v>800</v>
      </c>
      <c r="L52" s="4"/>
      <c r="M52" s="4" t="s">
        <v>293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496</v>
      </c>
      <c r="AD52" s="4"/>
      <c r="AE52" s="4">
        <v>20</v>
      </c>
      <c r="AF52" s="4">
        <v>30</v>
      </c>
      <c r="AG52" s="4">
        <v>25</v>
      </c>
      <c r="AH52" s="4"/>
      <c r="AI52" s="4">
        <v>25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>
        <v>100</v>
      </c>
      <c r="BL52" s="4">
        <v>95</v>
      </c>
      <c r="BM52" s="4">
        <v>90</v>
      </c>
      <c r="BN52" s="4">
        <v>85</v>
      </c>
      <c r="BO52" s="4">
        <v>80</v>
      </c>
      <c r="BP52" s="4">
        <v>75</v>
      </c>
      <c r="BQ52" s="4">
        <v>70</v>
      </c>
      <c r="BR52" s="4">
        <v>65</v>
      </c>
      <c r="BS52" s="4">
        <v>60</v>
      </c>
      <c r="BT52" s="4">
        <v>10</v>
      </c>
      <c r="BU52" s="4">
        <v>9.8000000000000007</v>
      </c>
      <c r="BV52" s="4">
        <v>9.6</v>
      </c>
      <c r="BW52" s="4">
        <v>9.4</v>
      </c>
      <c r="BX52" s="4">
        <v>9.1999999999999993</v>
      </c>
      <c r="BY52" s="4">
        <v>9</v>
      </c>
      <c r="BZ52" s="4">
        <v>8.8000000000000007</v>
      </c>
      <c r="CA52" s="4">
        <v>8.6</v>
      </c>
      <c r="CB52" s="4">
        <v>8.4</v>
      </c>
      <c r="CC52" s="4"/>
      <c r="CD52" s="4"/>
      <c r="CE52" s="4"/>
      <c r="CF52" s="4"/>
      <c r="CG52" s="4"/>
      <c r="CH52" s="4"/>
      <c r="CI52" s="4"/>
      <c r="CJ52" s="4"/>
      <c r="CK52" s="4"/>
      <c r="CL52" s="4" t="s">
        <v>497</v>
      </c>
      <c r="CM52" s="4"/>
      <c r="CN52" s="4">
        <v>0.05</v>
      </c>
      <c r="CO52" s="4">
        <v>0.05</v>
      </c>
      <c r="CP52" s="4">
        <v>0.05</v>
      </c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492</v>
      </c>
      <c r="B53" s="4" t="s">
        <v>494</v>
      </c>
      <c r="C53" s="4" t="s">
        <v>490</v>
      </c>
      <c r="D53" s="4" t="str">
        <f>D52</f>
        <v>일반학생전형</v>
      </c>
      <c r="E53" s="4" t="s">
        <v>299</v>
      </c>
      <c r="F53" s="4" t="s">
        <v>213</v>
      </c>
      <c r="G53" s="4" t="s">
        <v>300</v>
      </c>
      <c r="H53" s="4" t="s">
        <v>301</v>
      </c>
      <c r="I53" s="4"/>
      <c r="J53" s="4" t="s">
        <v>302</v>
      </c>
      <c r="K53" s="4">
        <v>800</v>
      </c>
      <c r="L53" s="4"/>
      <c r="M53" s="4" t="s">
        <v>303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496</v>
      </c>
      <c r="AD53" s="4"/>
      <c r="AE53" s="4">
        <v>20</v>
      </c>
      <c r="AF53" s="4">
        <v>30</v>
      </c>
      <c r="AG53" s="4">
        <v>25</v>
      </c>
      <c r="AH53" s="4"/>
      <c r="AI53" s="4">
        <v>25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>
        <v>100</v>
      </c>
      <c r="BL53" s="4">
        <v>95</v>
      </c>
      <c r="BM53" s="4">
        <v>90</v>
      </c>
      <c r="BN53" s="4">
        <v>85</v>
      </c>
      <c r="BO53" s="4">
        <v>80</v>
      </c>
      <c r="BP53" s="4">
        <v>75</v>
      </c>
      <c r="BQ53" s="4">
        <v>70</v>
      </c>
      <c r="BR53" s="4">
        <v>65</v>
      </c>
      <c r="BS53" s="4">
        <v>60</v>
      </c>
      <c r="BT53" s="4">
        <v>10</v>
      </c>
      <c r="BU53" s="4">
        <v>9.8000000000000007</v>
      </c>
      <c r="BV53" s="4">
        <v>9.6</v>
      </c>
      <c r="BW53" s="4">
        <v>9.4</v>
      </c>
      <c r="BX53" s="4">
        <v>9.1999999999999993</v>
      </c>
      <c r="BY53" s="4">
        <v>9</v>
      </c>
      <c r="BZ53" s="4">
        <v>8.8000000000000007</v>
      </c>
      <c r="CA53" s="4">
        <v>8.6</v>
      </c>
      <c r="CB53" s="4">
        <v>8.4</v>
      </c>
      <c r="CC53" s="4"/>
      <c r="CD53" s="4"/>
      <c r="CE53" s="4"/>
      <c r="CF53" s="4"/>
      <c r="CG53" s="4"/>
      <c r="CH53" s="4"/>
      <c r="CI53" s="4"/>
      <c r="CJ53" s="4"/>
      <c r="CK53" s="4"/>
      <c r="CL53" s="4" t="s">
        <v>497</v>
      </c>
      <c r="CM53" s="4"/>
      <c r="CN53" s="4">
        <v>0.05</v>
      </c>
      <c r="CO53" s="4">
        <v>0.05</v>
      </c>
      <c r="CP53" s="4">
        <v>0.05</v>
      </c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492</v>
      </c>
      <c r="B54" s="4" t="s">
        <v>494</v>
      </c>
      <c r="C54" s="4" t="s">
        <v>490</v>
      </c>
      <c r="D54" s="4" t="str">
        <f>D53</f>
        <v>일반학생전형</v>
      </c>
      <c r="E54" s="4" t="s">
        <v>316</v>
      </c>
      <c r="F54" s="4" t="s">
        <v>87</v>
      </c>
      <c r="G54" s="4" t="s">
        <v>317</v>
      </c>
      <c r="H54" s="4" t="s">
        <v>157</v>
      </c>
      <c r="I54" s="4"/>
      <c r="J54" s="4" t="s">
        <v>318</v>
      </c>
      <c r="K54" s="4">
        <v>800</v>
      </c>
      <c r="L54" s="4"/>
      <c r="M54" s="4" t="s">
        <v>272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496</v>
      </c>
      <c r="AD54" s="4"/>
      <c r="AE54" s="4">
        <v>30</v>
      </c>
      <c r="AF54" s="4">
        <v>25</v>
      </c>
      <c r="AG54" s="4">
        <v>25</v>
      </c>
      <c r="AH54" s="4"/>
      <c r="AI54" s="4">
        <v>20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>
        <v>100</v>
      </c>
      <c r="BL54" s="4">
        <v>95</v>
      </c>
      <c r="BM54" s="4">
        <v>90</v>
      </c>
      <c r="BN54" s="4">
        <v>85</v>
      </c>
      <c r="BO54" s="4">
        <v>80</v>
      </c>
      <c r="BP54" s="4">
        <v>75</v>
      </c>
      <c r="BQ54" s="4">
        <v>70</v>
      </c>
      <c r="BR54" s="4">
        <v>65</v>
      </c>
      <c r="BS54" s="4">
        <v>60</v>
      </c>
      <c r="BT54" s="4">
        <v>10</v>
      </c>
      <c r="BU54" s="4">
        <v>9.8000000000000007</v>
      </c>
      <c r="BV54" s="4">
        <v>9.6</v>
      </c>
      <c r="BW54" s="4">
        <v>9.4</v>
      </c>
      <c r="BX54" s="4">
        <v>9.1999999999999993</v>
      </c>
      <c r="BY54" s="4">
        <v>9</v>
      </c>
      <c r="BZ54" s="4">
        <v>8.8000000000000007</v>
      </c>
      <c r="CA54" s="4">
        <v>8.6</v>
      </c>
      <c r="CB54" s="4">
        <v>8.4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492</v>
      </c>
      <c r="B55" s="4" t="s">
        <v>494</v>
      </c>
      <c r="C55" s="4" t="s">
        <v>490</v>
      </c>
      <c r="D55" s="4" t="str">
        <f>D54</f>
        <v>일반학생전형</v>
      </c>
      <c r="E55" s="4" t="s">
        <v>332</v>
      </c>
      <c r="F55" s="4" t="s">
        <v>84</v>
      </c>
      <c r="G55" s="4" t="s">
        <v>146</v>
      </c>
      <c r="H55" s="4" t="s">
        <v>86</v>
      </c>
      <c r="I55" s="4"/>
      <c r="J55" s="4" t="s">
        <v>263</v>
      </c>
      <c r="K55" s="4">
        <v>800</v>
      </c>
      <c r="L55" s="4"/>
      <c r="M55" s="4" t="s">
        <v>333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496</v>
      </c>
      <c r="AD55" s="4"/>
      <c r="AE55" s="4">
        <v>25</v>
      </c>
      <c r="AF55" s="4">
        <v>25</v>
      </c>
      <c r="AG55" s="4">
        <v>25</v>
      </c>
      <c r="AH55" s="4"/>
      <c r="AI55" s="4">
        <v>25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>
        <v>100</v>
      </c>
      <c r="BL55" s="4">
        <v>95</v>
      </c>
      <c r="BM55" s="4">
        <v>90</v>
      </c>
      <c r="BN55" s="4">
        <v>85</v>
      </c>
      <c r="BO55" s="4">
        <v>80</v>
      </c>
      <c r="BP55" s="4">
        <v>75</v>
      </c>
      <c r="BQ55" s="4">
        <v>70</v>
      </c>
      <c r="BR55" s="4">
        <v>65</v>
      </c>
      <c r="BS55" s="4">
        <v>60</v>
      </c>
      <c r="BT55" s="4">
        <v>10</v>
      </c>
      <c r="BU55" s="4">
        <v>9.8000000000000007</v>
      </c>
      <c r="BV55" s="4">
        <v>9.6</v>
      </c>
      <c r="BW55" s="4">
        <v>9.4</v>
      </c>
      <c r="BX55" s="4">
        <v>9.1999999999999993</v>
      </c>
      <c r="BY55" s="4">
        <v>9</v>
      </c>
      <c r="BZ55" s="4">
        <v>8.8000000000000007</v>
      </c>
      <c r="CA55" s="4">
        <v>8.6</v>
      </c>
      <c r="CB55" s="4">
        <v>8.4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492</v>
      </c>
      <c r="B56" s="4" t="s">
        <v>494</v>
      </c>
      <c r="C56" s="4" t="s">
        <v>380</v>
      </c>
      <c r="D56" s="4" t="str">
        <f>D55</f>
        <v>일반학생전형</v>
      </c>
      <c r="E56" s="4" t="s">
        <v>216</v>
      </c>
      <c r="F56" s="4" t="s">
        <v>86</v>
      </c>
      <c r="G56" s="4" t="s">
        <v>217</v>
      </c>
      <c r="H56" s="4" t="s">
        <v>83</v>
      </c>
      <c r="I56" s="4"/>
      <c r="J56" s="4" t="s">
        <v>218</v>
      </c>
      <c r="K56" s="4">
        <v>800</v>
      </c>
      <c r="L56" s="4"/>
      <c r="M56" s="4" t="s">
        <v>219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496</v>
      </c>
      <c r="AD56" s="4"/>
      <c r="AE56" s="4">
        <v>25</v>
      </c>
      <c r="AF56" s="4">
        <v>25</v>
      </c>
      <c r="AG56" s="4">
        <v>25</v>
      </c>
      <c r="AH56" s="4"/>
      <c r="AI56" s="4">
        <v>25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>
        <v>100</v>
      </c>
      <c r="BL56" s="4">
        <v>95</v>
      </c>
      <c r="BM56" s="4">
        <v>90</v>
      </c>
      <c r="BN56" s="4">
        <v>85</v>
      </c>
      <c r="BO56" s="4">
        <v>80</v>
      </c>
      <c r="BP56" s="4">
        <v>75</v>
      </c>
      <c r="BQ56" s="4">
        <v>70</v>
      </c>
      <c r="BR56" s="4">
        <v>65</v>
      </c>
      <c r="BS56" s="4">
        <v>60</v>
      </c>
      <c r="BT56" s="4">
        <v>10</v>
      </c>
      <c r="BU56" s="4">
        <v>9.8000000000000007</v>
      </c>
      <c r="BV56" s="4">
        <v>9.6</v>
      </c>
      <c r="BW56" s="4">
        <v>9.4</v>
      </c>
      <c r="BX56" s="4">
        <v>9.1999999999999993</v>
      </c>
      <c r="BY56" s="4">
        <v>9</v>
      </c>
      <c r="BZ56" s="4">
        <v>8.8000000000000007</v>
      </c>
      <c r="CA56" s="4">
        <v>8.6</v>
      </c>
      <c r="CB56" s="4">
        <v>8.4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492</v>
      </c>
      <c r="B57" s="4" t="s">
        <v>494</v>
      </c>
      <c r="C57" s="4" t="s">
        <v>380</v>
      </c>
      <c r="D57" s="4" t="str">
        <f>D56</f>
        <v>일반학생전형</v>
      </c>
      <c r="E57" s="4" t="s">
        <v>244</v>
      </c>
      <c r="F57" s="4" t="s">
        <v>85</v>
      </c>
      <c r="G57" s="4" t="s">
        <v>245</v>
      </c>
      <c r="H57" s="4" t="s">
        <v>86</v>
      </c>
      <c r="I57" s="4"/>
      <c r="J57" s="4" t="s">
        <v>246</v>
      </c>
      <c r="K57" s="4">
        <v>800</v>
      </c>
      <c r="L57" s="4"/>
      <c r="M57" s="4" t="s">
        <v>247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496</v>
      </c>
      <c r="AD57" s="4"/>
      <c r="AE57" s="4">
        <v>30</v>
      </c>
      <c r="AF57" s="4">
        <v>25</v>
      </c>
      <c r="AG57" s="4">
        <v>25</v>
      </c>
      <c r="AH57" s="4"/>
      <c r="AI57" s="4">
        <v>20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>
        <v>100</v>
      </c>
      <c r="BL57" s="4">
        <v>95</v>
      </c>
      <c r="BM57" s="4">
        <v>90</v>
      </c>
      <c r="BN57" s="4">
        <v>85</v>
      </c>
      <c r="BO57" s="4">
        <v>80</v>
      </c>
      <c r="BP57" s="4">
        <v>75</v>
      </c>
      <c r="BQ57" s="4">
        <v>70</v>
      </c>
      <c r="BR57" s="4">
        <v>65</v>
      </c>
      <c r="BS57" s="4">
        <v>60</v>
      </c>
      <c r="BT57" s="4">
        <v>10</v>
      </c>
      <c r="BU57" s="4">
        <v>9.8000000000000007</v>
      </c>
      <c r="BV57" s="4">
        <v>9.6</v>
      </c>
      <c r="BW57" s="4">
        <v>9.4</v>
      </c>
      <c r="BX57" s="4">
        <v>9.1999999999999993</v>
      </c>
      <c r="BY57" s="4">
        <v>9</v>
      </c>
      <c r="BZ57" s="4">
        <v>8.8000000000000007</v>
      </c>
      <c r="CA57" s="4">
        <v>8.6</v>
      </c>
      <c r="CB57" s="4">
        <v>8.4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492</v>
      </c>
      <c r="B58" s="4" t="s">
        <v>494</v>
      </c>
      <c r="C58" s="4" t="s">
        <v>380</v>
      </c>
      <c r="D58" s="4" t="str">
        <f>D57</f>
        <v>일반학생전형</v>
      </c>
      <c r="E58" s="4" t="s">
        <v>145</v>
      </c>
      <c r="F58" s="4" t="s">
        <v>84</v>
      </c>
      <c r="G58" s="4" t="s">
        <v>146</v>
      </c>
      <c r="H58" s="4" t="s">
        <v>86</v>
      </c>
      <c r="I58" s="4"/>
      <c r="J58" s="4" t="s">
        <v>147</v>
      </c>
      <c r="K58" s="4">
        <v>800</v>
      </c>
      <c r="L58" s="4"/>
      <c r="M58" s="4" t="s">
        <v>148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496</v>
      </c>
      <c r="AD58" s="4"/>
      <c r="AE58" s="4">
        <v>30</v>
      </c>
      <c r="AF58" s="4">
        <v>25</v>
      </c>
      <c r="AG58" s="4">
        <v>25</v>
      </c>
      <c r="AH58" s="4"/>
      <c r="AI58" s="4">
        <v>20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>
        <v>100</v>
      </c>
      <c r="BL58" s="4">
        <v>95</v>
      </c>
      <c r="BM58" s="4">
        <v>90</v>
      </c>
      <c r="BN58" s="4">
        <v>85</v>
      </c>
      <c r="BO58" s="4">
        <v>80</v>
      </c>
      <c r="BP58" s="4">
        <v>75</v>
      </c>
      <c r="BQ58" s="4">
        <v>70</v>
      </c>
      <c r="BR58" s="4">
        <v>65</v>
      </c>
      <c r="BS58" s="4">
        <v>60</v>
      </c>
      <c r="BT58" s="4">
        <v>10</v>
      </c>
      <c r="BU58" s="4">
        <v>9.8000000000000007</v>
      </c>
      <c r="BV58" s="4">
        <v>9.6</v>
      </c>
      <c r="BW58" s="4">
        <v>9.4</v>
      </c>
      <c r="BX58" s="4">
        <v>9.1999999999999993</v>
      </c>
      <c r="BY58" s="4">
        <v>9</v>
      </c>
      <c r="BZ58" s="4">
        <v>8.8000000000000007</v>
      </c>
      <c r="CA58" s="4">
        <v>8.6</v>
      </c>
      <c r="CB58" s="4">
        <v>8.4</v>
      </c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492</v>
      </c>
      <c r="B59" s="4" t="s">
        <v>494</v>
      </c>
      <c r="C59" s="4" t="s">
        <v>380</v>
      </c>
      <c r="D59" s="4" t="str">
        <f>D58</f>
        <v>일반학생전형</v>
      </c>
      <c r="E59" s="4" t="s">
        <v>224</v>
      </c>
      <c r="F59" s="4" t="s">
        <v>87</v>
      </c>
      <c r="G59" s="4" t="s">
        <v>225</v>
      </c>
      <c r="H59" s="4" t="s">
        <v>85</v>
      </c>
      <c r="I59" s="4"/>
      <c r="J59" s="4" t="s">
        <v>226</v>
      </c>
      <c r="K59" s="4">
        <v>480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496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>
        <v>33.299999999999997</v>
      </c>
      <c r="AQ59" s="4">
        <v>33.299999999999997</v>
      </c>
      <c r="AR59" s="4">
        <v>33.299999999999997</v>
      </c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>
        <v>100</v>
      </c>
      <c r="BL59" s="4">
        <v>95</v>
      </c>
      <c r="BM59" s="4">
        <v>90</v>
      </c>
      <c r="BN59" s="4">
        <v>85</v>
      </c>
      <c r="BO59" s="4">
        <v>80</v>
      </c>
      <c r="BP59" s="4">
        <v>75</v>
      </c>
      <c r="BQ59" s="4">
        <v>70</v>
      </c>
      <c r="BR59" s="4">
        <v>65</v>
      </c>
      <c r="BS59" s="4">
        <v>60</v>
      </c>
      <c r="BT59" s="4">
        <v>10</v>
      </c>
      <c r="BU59" s="4">
        <v>9.8000000000000007</v>
      </c>
      <c r="BV59" s="4">
        <v>9.6</v>
      </c>
      <c r="BW59" s="4">
        <v>9.4</v>
      </c>
      <c r="BX59" s="4">
        <v>9.1999999999999993</v>
      </c>
      <c r="BY59" s="4">
        <v>9</v>
      </c>
      <c r="BZ59" s="4">
        <v>8.8000000000000007</v>
      </c>
      <c r="CA59" s="4">
        <v>8.6</v>
      </c>
      <c r="CB59" s="4">
        <v>8.4</v>
      </c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492</v>
      </c>
      <c r="B60" s="4" t="s">
        <v>494</v>
      </c>
      <c r="C60" s="4" t="s">
        <v>490</v>
      </c>
      <c r="D60" s="4" t="str">
        <f>D59</f>
        <v>일반학생전형</v>
      </c>
      <c r="E60" s="4" t="s">
        <v>294</v>
      </c>
      <c r="F60" s="4" t="s">
        <v>202</v>
      </c>
      <c r="G60" s="4" t="s">
        <v>295</v>
      </c>
      <c r="H60" s="4" t="s">
        <v>296</v>
      </c>
      <c r="I60" s="4"/>
      <c r="J60" s="4" t="s">
        <v>297</v>
      </c>
      <c r="K60" s="4">
        <v>800</v>
      </c>
      <c r="L60" s="4"/>
      <c r="M60" s="4" t="s">
        <v>298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496</v>
      </c>
      <c r="AD60" s="4"/>
      <c r="AE60" s="4">
        <v>20</v>
      </c>
      <c r="AF60" s="4">
        <v>30</v>
      </c>
      <c r="AG60" s="4">
        <v>25</v>
      </c>
      <c r="AH60" s="4"/>
      <c r="AI60" s="4">
        <v>25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>
        <v>100</v>
      </c>
      <c r="BL60" s="4">
        <v>95</v>
      </c>
      <c r="BM60" s="4">
        <v>90</v>
      </c>
      <c r="BN60" s="4">
        <v>85</v>
      </c>
      <c r="BO60" s="4">
        <v>80</v>
      </c>
      <c r="BP60" s="4">
        <v>75</v>
      </c>
      <c r="BQ60" s="4">
        <v>70</v>
      </c>
      <c r="BR60" s="4">
        <v>65</v>
      </c>
      <c r="BS60" s="4">
        <v>60</v>
      </c>
      <c r="BT60" s="4">
        <v>10</v>
      </c>
      <c r="BU60" s="4">
        <v>9.8000000000000007</v>
      </c>
      <c r="BV60" s="4">
        <v>9.6</v>
      </c>
      <c r="BW60" s="4">
        <v>9.4</v>
      </c>
      <c r="BX60" s="4">
        <v>9.1999999999999993</v>
      </c>
      <c r="BY60" s="4">
        <v>9</v>
      </c>
      <c r="BZ60" s="4">
        <v>8.8000000000000007</v>
      </c>
      <c r="CA60" s="4">
        <v>8.6</v>
      </c>
      <c r="CB60" s="4">
        <v>8.4</v>
      </c>
      <c r="CC60" s="4"/>
      <c r="CD60" s="4"/>
      <c r="CE60" s="4"/>
      <c r="CF60" s="4"/>
      <c r="CG60" s="4"/>
      <c r="CH60" s="4"/>
      <c r="CI60" s="4"/>
      <c r="CJ60" s="4"/>
      <c r="CK60" s="4"/>
      <c r="CL60" s="4" t="s">
        <v>497</v>
      </c>
      <c r="CM60" s="4"/>
      <c r="CN60" s="4">
        <v>0.05</v>
      </c>
      <c r="CO60" s="4">
        <v>0.05</v>
      </c>
      <c r="CP60" s="4">
        <v>0.05</v>
      </c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492</v>
      </c>
      <c r="B61" s="4" t="s">
        <v>494</v>
      </c>
      <c r="C61" s="4" t="s">
        <v>380</v>
      </c>
      <c r="D61" s="4" t="str">
        <f>D60</f>
        <v>일반학생전형</v>
      </c>
      <c r="E61" s="4" t="s">
        <v>161</v>
      </c>
      <c r="F61" s="4" t="s">
        <v>96</v>
      </c>
      <c r="G61" s="4" t="s">
        <v>162</v>
      </c>
      <c r="H61" s="4" t="s">
        <v>157</v>
      </c>
      <c r="I61" s="4"/>
      <c r="J61" s="4" t="s">
        <v>163</v>
      </c>
      <c r="K61" s="4">
        <v>800</v>
      </c>
      <c r="L61" s="4"/>
      <c r="M61" s="4" t="s">
        <v>164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 t="s">
        <v>496</v>
      </c>
      <c r="AD61" s="4"/>
      <c r="AE61" s="4">
        <v>20</v>
      </c>
      <c r="AF61" s="4">
        <v>30</v>
      </c>
      <c r="AG61" s="4">
        <v>25</v>
      </c>
      <c r="AH61" s="4"/>
      <c r="AI61" s="4">
        <v>25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>
        <v>100</v>
      </c>
      <c r="BL61" s="4">
        <v>95</v>
      </c>
      <c r="BM61" s="4">
        <v>90</v>
      </c>
      <c r="BN61" s="4">
        <v>85</v>
      </c>
      <c r="BO61" s="4">
        <v>80</v>
      </c>
      <c r="BP61" s="4">
        <v>75</v>
      </c>
      <c r="BQ61" s="4">
        <v>70</v>
      </c>
      <c r="BR61" s="4">
        <v>65</v>
      </c>
      <c r="BS61" s="4">
        <v>60</v>
      </c>
      <c r="BT61" s="4">
        <v>10</v>
      </c>
      <c r="BU61" s="4">
        <v>9.8000000000000007</v>
      </c>
      <c r="BV61" s="4">
        <v>9.6</v>
      </c>
      <c r="BW61" s="4">
        <v>9.4</v>
      </c>
      <c r="BX61" s="4">
        <v>9.1999999999999993</v>
      </c>
      <c r="BY61" s="4">
        <v>9</v>
      </c>
      <c r="BZ61" s="4">
        <v>8.8000000000000007</v>
      </c>
      <c r="CA61" s="4">
        <v>8.6</v>
      </c>
      <c r="CB61" s="4">
        <v>8.4</v>
      </c>
      <c r="CC61" s="4"/>
      <c r="CD61" s="4"/>
      <c r="CE61" s="4"/>
      <c r="CF61" s="4"/>
      <c r="CG61" s="4"/>
      <c r="CH61" s="4"/>
      <c r="CI61" s="4"/>
      <c r="CJ61" s="4"/>
      <c r="CK61" s="4"/>
      <c r="CL61" s="4" t="s">
        <v>497</v>
      </c>
      <c r="CM61" s="4"/>
      <c r="CN61" s="4">
        <v>0.05</v>
      </c>
      <c r="CO61" s="4">
        <v>0.05</v>
      </c>
      <c r="CP61" s="4">
        <v>0.05</v>
      </c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492</v>
      </c>
      <c r="B62" s="4" t="s">
        <v>494</v>
      </c>
      <c r="C62" s="4" t="s">
        <v>490</v>
      </c>
      <c r="D62" s="4" t="str">
        <f>D61</f>
        <v>일반학생전형</v>
      </c>
      <c r="E62" s="4" t="s">
        <v>286</v>
      </c>
      <c r="F62" s="4" t="s">
        <v>86</v>
      </c>
      <c r="G62" s="4" t="s">
        <v>287</v>
      </c>
      <c r="H62" s="4" t="s">
        <v>202</v>
      </c>
      <c r="I62" s="4"/>
      <c r="J62" s="4" t="s">
        <v>288</v>
      </c>
      <c r="K62" s="4">
        <v>800</v>
      </c>
      <c r="L62" s="4"/>
      <c r="M62" s="4" t="s">
        <v>144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496</v>
      </c>
      <c r="AD62" s="4"/>
      <c r="AE62" s="4">
        <v>20</v>
      </c>
      <c r="AF62" s="4">
        <v>30</v>
      </c>
      <c r="AG62" s="4">
        <v>25</v>
      </c>
      <c r="AH62" s="4"/>
      <c r="AI62" s="4">
        <v>25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>
        <v>100</v>
      </c>
      <c r="BL62" s="4">
        <v>95</v>
      </c>
      <c r="BM62" s="4">
        <v>90</v>
      </c>
      <c r="BN62" s="4">
        <v>85</v>
      </c>
      <c r="BO62" s="4">
        <v>80</v>
      </c>
      <c r="BP62" s="4">
        <v>75</v>
      </c>
      <c r="BQ62" s="4">
        <v>70</v>
      </c>
      <c r="BR62" s="4">
        <v>65</v>
      </c>
      <c r="BS62" s="4">
        <v>60</v>
      </c>
      <c r="BT62" s="4">
        <v>10</v>
      </c>
      <c r="BU62" s="4">
        <v>9.8000000000000007</v>
      </c>
      <c r="BV62" s="4">
        <v>9.6</v>
      </c>
      <c r="BW62" s="4">
        <v>9.4</v>
      </c>
      <c r="BX62" s="4">
        <v>9.1999999999999993</v>
      </c>
      <c r="BY62" s="4">
        <v>9</v>
      </c>
      <c r="BZ62" s="4">
        <v>8.8000000000000007</v>
      </c>
      <c r="CA62" s="4">
        <v>8.6</v>
      </c>
      <c r="CB62" s="4">
        <v>8.4</v>
      </c>
      <c r="CC62" s="4"/>
      <c r="CD62" s="4"/>
      <c r="CE62" s="4"/>
      <c r="CF62" s="4"/>
      <c r="CG62" s="4"/>
      <c r="CH62" s="4"/>
      <c r="CI62" s="4"/>
      <c r="CJ62" s="4"/>
      <c r="CK62" s="4"/>
      <c r="CL62" s="4" t="s">
        <v>497</v>
      </c>
      <c r="CM62" s="4"/>
      <c r="CN62" s="4">
        <v>0.05</v>
      </c>
      <c r="CO62" s="4">
        <v>0.05</v>
      </c>
      <c r="CP62" s="4">
        <v>0.05</v>
      </c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492</v>
      </c>
      <c r="B63" s="4" t="s">
        <v>494</v>
      </c>
      <c r="C63" s="4" t="s">
        <v>490</v>
      </c>
      <c r="D63" s="4" t="str">
        <f>D62</f>
        <v>일반학생전형</v>
      </c>
      <c r="E63" s="4" t="s">
        <v>362</v>
      </c>
      <c r="F63" s="4" t="s">
        <v>84</v>
      </c>
      <c r="G63" s="4" t="s">
        <v>363</v>
      </c>
      <c r="H63" s="4" t="s">
        <v>354</v>
      </c>
      <c r="I63" s="4"/>
      <c r="J63" s="4" t="s">
        <v>364</v>
      </c>
      <c r="K63" s="4">
        <v>800</v>
      </c>
      <c r="L63" s="4"/>
      <c r="M63" s="4" t="s">
        <v>365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496</v>
      </c>
      <c r="AD63" s="4"/>
      <c r="AE63" s="4">
        <v>30</v>
      </c>
      <c r="AF63" s="4">
        <v>25</v>
      </c>
      <c r="AG63" s="4">
        <v>25</v>
      </c>
      <c r="AH63" s="4"/>
      <c r="AI63" s="4">
        <v>20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>
        <v>100</v>
      </c>
      <c r="BL63" s="4">
        <v>95</v>
      </c>
      <c r="BM63" s="4">
        <v>90</v>
      </c>
      <c r="BN63" s="4">
        <v>85</v>
      </c>
      <c r="BO63" s="4">
        <v>80</v>
      </c>
      <c r="BP63" s="4">
        <v>75</v>
      </c>
      <c r="BQ63" s="4">
        <v>70</v>
      </c>
      <c r="BR63" s="4">
        <v>65</v>
      </c>
      <c r="BS63" s="4">
        <v>60</v>
      </c>
      <c r="BT63" s="4">
        <v>10</v>
      </c>
      <c r="BU63" s="4">
        <v>9.8000000000000007</v>
      </c>
      <c r="BV63" s="4">
        <v>9.6</v>
      </c>
      <c r="BW63" s="4">
        <v>9.4</v>
      </c>
      <c r="BX63" s="4">
        <v>9.1999999999999993</v>
      </c>
      <c r="BY63" s="4">
        <v>9</v>
      </c>
      <c r="BZ63" s="4">
        <v>8.8000000000000007</v>
      </c>
      <c r="CA63" s="4">
        <v>8.6</v>
      </c>
      <c r="CB63" s="4">
        <v>8.4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spans="1:107" x14ac:dyDescent="0.4">
      <c r="A64" s="4" t="s">
        <v>492</v>
      </c>
      <c r="B64" s="4" t="s">
        <v>494</v>
      </c>
      <c r="C64" s="4" t="s">
        <v>490</v>
      </c>
      <c r="D64" s="4" t="str">
        <f>D63</f>
        <v>일반학생전형</v>
      </c>
      <c r="E64" s="4" t="s">
        <v>319</v>
      </c>
      <c r="F64" s="4" t="s">
        <v>136</v>
      </c>
      <c r="G64" s="4" t="s">
        <v>170</v>
      </c>
      <c r="H64" s="4" t="s">
        <v>320</v>
      </c>
      <c r="I64" s="4"/>
      <c r="J64" s="4" t="s">
        <v>321</v>
      </c>
      <c r="K64" s="4">
        <v>800</v>
      </c>
      <c r="L64" s="4"/>
      <c r="M64" s="4" t="s">
        <v>176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496</v>
      </c>
      <c r="AD64" s="4"/>
      <c r="AE64" s="4">
        <v>30</v>
      </c>
      <c r="AF64" s="4">
        <v>25</v>
      </c>
      <c r="AG64" s="4">
        <v>25</v>
      </c>
      <c r="AH64" s="4"/>
      <c r="AI64" s="4">
        <v>20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>
        <v>100</v>
      </c>
      <c r="BL64" s="4">
        <v>95</v>
      </c>
      <c r="BM64" s="4">
        <v>90</v>
      </c>
      <c r="BN64" s="4">
        <v>85</v>
      </c>
      <c r="BO64" s="4">
        <v>80</v>
      </c>
      <c r="BP64" s="4">
        <v>75</v>
      </c>
      <c r="BQ64" s="4">
        <v>70</v>
      </c>
      <c r="BR64" s="4">
        <v>65</v>
      </c>
      <c r="BS64" s="4">
        <v>60</v>
      </c>
      <c r="BT64" s="4">
        <v>10</v>
      </c>
      <c r="BU64" s="4">
        <v>9.8000000000000007</v>
      </c>
      <c r="BV64" s="4">
        <v>9.6</v>
      </c>
      <c r="BW64" s="4">
        <v>9.4</v>
      </c>
      <c r="BX64" s="4">
        <v>9.1999999999999993</v>
      </c>
      <c r="BY64" s="4">
        <v>9</v>
      </c>
      <c r="BZ64" s="4">
        <v>8.8000000000000007</v>
      </c>
      <c r="CA64" s="4">
        <v>8.6</v>
      </c>
      <c r="CB64" s="4">
        <v>8.4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492</v>
      </c>
      <c r="B65" s="4" t="s">
        <v>494</v>
      </c>
      <c r="C65" s="4" t="s">
        <v>490</v>
      </c>
      <c r="D65" s="4" t="str">
        <f>D64</f>
        <v>일반학생전형</v>
      </c>
      <c r="E65" s="4" t="s">
        <v>280</v>
      </c>
      <c r="F65" s="4" t="s">
        <v>281</v>
      </c>
      <c r="G65" s="4" t="s">
        <v>282</v>
      </c>
      <c r="H65" s="4" t="s">
        <v>283</v>
      </c>
      <c r="I65" s="4"/>
      <c r="J65" s="4" t="s">
        <v>284</v>
      </c>
      <c r="K65" s="4">
        <v>800</v>
      </c>
      <c r="L65" s="4"/>
      <c r="M65" s="4" t="s">
        <v>285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496</v>
      </c>
      <c r="AD65" s="4"/>
      <c r="AE65" s="4">
        <v>20</v>
      </c>
      <c r="AF65" s="4">
        <v>30</v>
      </c>
      <c r="AG65" s="4">
        <v>25</v>
      </c>
      <c r="AH65" s="4"/>
      <c r="AI65" s="4">
        <v>25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>
        <v>100</v>
      </c>
      <c r="BL65" s="4">
        <v>95</v>
      </c>
      <c r="BM65" s="4">
        <v>90</v>
      </c>
      <c r="BN65" s="4">
        <v>85</v>
      </c>
      <c r="BO65" s="4">
        <v>80</v>
      </c>
      <c r="BP65" s="4">
        <v>75</v>
      </c>
      <c r="BQ65" s="4">
        <v>70</v>
      </c>
      <c r="BR65" s="4">
        <v>65</v>
      </c>
      <c r="BS65" s="4">
        <v>60</v>
      </c>
      <c r="BT65" s="4">
        <v>10</v>
      </c>
      <c r="BU65" s="4">
        <v>9.8000000000000007</v>
      </c>
      <c r="BV65" s="4">
        <v>9.6</v>
      </c>
      <c r="BW65" s="4">
        <v>9.4</v>
      </c>
      <c r="BX65" s="4">
        <v>9.1999999999999993</v>
      </c>
      <c r="BY65" s="4">
        <v>9</v>
      </c>
      <c r="BZ65" s="4">
        <v>8.8000000000000007</v>
      </c>
      <c r="CA65" s="4">
        <v>8.6</v>
      </c>
      <c r="CB65" s="4">
        <v>8.4</v>
      </c>
      <c r="CC65" s="4"/>
      <c r="CD65" s="4"/>
      <c r="CE65" s="4"/>
      <c r="CF65" s="4"/>
      <c r="CG65" s="4"/>
      <c r="CH65" s="4"/>
      <c r="CI65" s="4"/>
      <c r="CJ65" s="4"/>
      <c r="CK65" s="4"/>
      <c r="CL65" s="4" t="s">
        <v>497</v>
      </c>
      <c r="CM65" s="4"/>
      <c r="CN65" s="4">
        <v>0.05</v>
      </c>
      <c r="CO65" s="4">
        <v>0.05</v>
      </c>
      <c r="CP65" s="4">
        <v>0.05</v>
      </c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492</v>
      </c>
      <c r="B66" s="4" t="s">
        <v>494</v>
      </c>
      <c r="C66" s="4" t="s">
        <v>380</v>
      </c>
      <c r="D66" s="4" t="str">
        <f>D65</f>
        <v>일반학생전형</v>
      </c>
      <c r="E66" s="4" t="s">
        <v>489</v>
      </c>
      <c r="F66" s="4">
        <v>10</v>
      </c>
      <c r="G66" s="4">
        <v>7.2</v>
      </c>
      <c r="H66" s="4">
        <v>13</v>
      </c>
      <c r="I66" s="4"/>
      <c r="J66" s="4">
        <v>588.79</v>
      </c>
      <c r="K66" s="4">
        <v>800</v>
      </c>
      <c r="L66" s="4"/>
      <c r="M66" s="4">
        <v>65.83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496</v>
      </c>
      <c r="AD66" s="4"/>
      <c r="AE66" s="4">
        <v>20</v>
      </c>
      <c r="AF66" s="4">
        <v>30</v>
      </c>
      <c r="AG66" s="4">
        <v>25</v>
      </c>
      <c r="AH66" s="4"/>
      <c r="AI66" s="4">
        <v>25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>
        <v>100</v>
      </c>
      <c r="BL66" s="4">
        <v>95</v>
      </c>
      <c r="BM66" s="4">
        <v>90</v>
      </c>
      <c r="BN66" s="4">
        <v>85</v>
      </c>
      <c r="BO66" s="4">
        <v>80</v>
      </c>
      <c r="BP66" s="4">
        <v>75</v>
      </c>
      <c r="BQ66" s="4">
        <v>70</v>
      </c>
      <c r="BR66" s="4">
        <v>65</v>
      </c>
      <c r="BS66" s="4">
        <v>60</v>
      </c>
      <c r="BT66" s="4">
        <v>10</v>
      </c>
      <c r="BU66" s="4">
        <v>9.8000000000000007</v>
      </c>
      <c r="BV66" s="4">
        <v>9.6</v>
      </c>
      <c r="BW66" s="4">
        <v>9.4</v>
      </c>
      <c r="BX66" s="4">
        <v>9.1999999999999993</v>
      </c>
      <c r="BY66" s="4">
        <v>9</v>
      </c>
      <c r="BZ66" s="4">
        <v>8.8000000000000007</v>
      </c>
      <c r="CA66" s="4">
        <v>8.6</v>
      </c>
      <c r="CB66" s="4">
        <v>8.4</v>
      </c>
      <c r="CC66" s="4"/>
      <c r="CD66" s="4"/>
      <c r="CE66" s="4"/>
      <c r="CF66" s="4"/>
      <c r="CG66" s="4"/>
      <c r="CH66" s="4"/>
      <c r="CI66" s="4"/>
      <c r="CJ66" s="4"/>
      <c r="CK66" s="4"/>
      <c r="CL66" s="4" t="s">
        <v>497</v>
      </c>
      <c r="CM66" s="4"/>
      <c r="CN66" s="4">
        <v>0.05</v>
      </c>
      <c r="CO66" s="4">
        <v>0.05</v>
      </c>
      <c r="CP66" s="4">
        <v>0.05</v>
      </c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 spans="1:107" x14ac:dyDescent="0.4">
      <c r="A67" s="4" t="s">
        <v>492</v>
      </c>
      <c r="B67" s="4" t="s">
        <v>494</v>
      </c>
      <c r="C67" s="4" t="s">
        <v>490</v>
      </c>
      <c r="D67" s="4" t="str">
        <f>D66</f>
        <v>일반학생전형</v>
      </c>
      <c r="E67" s="4" t="s">
        <v>257</v>
      </c>
      <c r="F67" s="4" t="s">
        <v>86</v>
      </c>
      <c r="G67" s="4" t="s">
        <v>258</v>
      </c>
      <c r="H67" s="4" t="s">
        <v>85</v>
      </c>
      <c r="I67" s="4"/>
      <c r="J67" s="4" t="s">
        <v>259</v>
      </c>
      <c r="K67" s="4">
        <v>800</v>
      </c>
      <c r="L67" s="4"/>
      <c r="M67" s="4" t="s">
        <v>260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496</v>
      </c>
      <c r="AD67" s="4"/>
      <c r="AE67" s="4">
        <v>20</v>
      </c>
      <c r="AF67" s="4">
        <v>30</v>
      </c>
      <c r="AG67" s="4">
        <v>25</v>
      </c>
      <c r="AH67" s="4"/>
      <c r="AI67" s="4">
        <v>25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>
        <v>100</v>
      </c>
      <c r="BL67" s="4">
        <v>95</v>
      </c>
      <c r="BM67" s="4">
        <v>90</v>
      </c>
      <c r="BN67" s="4">
        <v>85</v>
      </c>
      <c r="BO67" s="4">
        <v>80</v>
      </c>
      <c r="BP67" s="4">
        <v>75</v>
      </c>
      <c r="BQ67" s="4">
        <v>70</v>
      </c>
      <c r="BR67" s="4">
        <v>65</v>
      </c>
      <c r="BS67" s="4">
        <v>60</v>
      </c>
      <c r="BT67" s="4">
        <v>10</v>
      </c>
      <c r="BU67" s="4">
        <v>9.8000000000000007</v>
      </c>
      <c r="BV67" s="4">
        <v>9.6</v>
      </c>
      <c r="BW67" s="4">
        <v>9.4</v>
      </c>
      <c r="BX67" s="4">
        <v>9.1999999999999993</v>
      </c>
      <c r="BY67" s="4">
        <v>9</v>
      </c>
      <c r="BZ67" s="4">
        <v>8.8000000000000007</v>
      </c>
      <c r="CA67" s="4">
        <v>8.6</v>
      </c>
      <c r="CB67" s="4">
        <v>8.4</v>
      </c>
      <c r="CC67" s="4"/>
      <c r="CD67" s="4"/>
      <c r="CE67" s="4"/>
      <c r="CF67" s="4"/>
      <c r="CG67" s="4"/>
      <c r="CH67" s="4"/>
      <c r="CI67" s="4"/>
      <c r="CJ67" s="4"/>
      <c r="CK67" s="4"/>
      <c r="CL67" s="4" t="s">
        <v>497</v>
      </c>
      <c r="CM67" s="4"/>
      <c r="CN67" s="4">
        <v>0.05</v>
      </c>
      <c r="CO67" s="4">
        <v>0.05</v>
      </c>
      <c r="CP67" s="4">
        <v>0.05</v>
      </c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 spans="1:107" x14ac:dyDescent="0.4">
      <c r="A68" s="4" t="s">
        <v>492</v>
      </c>
      <c r="B68" s="4" t="s">
        <v>494</v>
      </c>
      <c r="C68" s="4" t="s">
        <v>380</v>
      </c>
      <c r="D68" s="4" t="str">
        <f>D67</f>
        <v>일반학생전형</v>
      </c>
      <c r="E68" s="4" t="s">
        <v>201</v>
      </c>
      <c r="F68" s="4" t="s">
        <v>202</v>
      </c>
      <c r="G68" s="4" t="s">
        <v>203</v>
      </c>
      <c r="H68" s="4" t="s">
        <v>204</v>
      </c>
      <c r="I68" s="4"/>
      <c r="J68" s="4" t="s">
        <v>179</v>
      </c>
      <c r="K68" s="4">
        <v>800</v>
      </c>
      <c r="L68" s="4"/>
      <c r="M68" s="4" t="s">
        <v>205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496</v>
      </c>
      <c r="AD68" s="4"/>
      <c r="AE68" s="4">
        <v>30</v>
      </c>
      <c r="AF68" s="4">
        <v>25</v>
      </c>
      <c r="AG68" s="4">
        <v>25</v>
      </c>
      <c r="AH68" s="4"/>
      <c r="AI68" s="4">
        <v>20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>
        <v>100</v>
      </c>
      <c r="BL68" s="4">
        <v>95</v>
      </c>
      <c r="BM68" s="4">
        <v>90</v>
      </c>
      <c r="BN68" s="4">
        <v>85</v>
      </c>
      <c r="BO68" s="4">
        <v>80</v>
      </c>
      <c r="BP68" s="4">
        <v>75</v>
      </c>
      <c r="BQ68" s="4">
        <v>70</v>
      </c>
      <c r="BR68" s="4">
        <v>65</v>
      </c>
      <c r="BS68" s="4">
        <v>60</v>
      </c>
      <c r="BT68" s="4">
        <v>10</v>
      </c>
      <c r="BU68" s="4">
        <v>9.8000000000000007</v>
      </c>
      <c r="BV68" s="4">
        <v>9.6</v>
      </c>
      <c r="BW68" s="4">
        <v>9.4</v>
      </c>
      <c r="BX68" s="4">
        <v>9.1999999999999993</v>
      </c>
      <c r="BY68" s="4">
        <v>9</v>
      </c>
      <c r="BZ68" s="4">
        <v>8.8000000000000007</v>
      </c>
      <c r="CA68" s="4">
        <v>8.6</v>
      </c>
      <c r="CB68" s="4">
        <v>8.4</v>
      </c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  <row r="69" spans="1:107" x14ac:dyDescent="0.4">
      <c r="A69" s="4" t="s">
        <v>492</v>
      </c>
      <c r="B69" s="4" t="s">
        <v>494</v>
      </c>
      <c r="C69" s="4" t="s">
        <v>380</v>
      </c>
      <c r="D69" s="4" t="str">
        <f>D68</f>
        <v>일반학생전형</v>
      </c>
      <c r="E69" s="4" t="s">
        <v>233</v>
      </c>
      <c r="F69" s="4" t="s">
        <v>85</v>
      </c>
      <c r="G69" s="4" t="s">
        <v>234</v>
      </c>
      <c r="H69" s="4" t="s">
        <v>87</v>
      </c>
      <c r="I69" s="4"/>
      <c r="J69" s="4" t="s">
        <v>235</v>
      </c>
      <c r="K69" s="4">
        <v>800</v>
      </c>
      <c r="L69" s="4"/>
      <c r="M69" s="4" t="s">
        <v>236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 t="s">
        <v>496</v>
      </c>
      <c r="AD69" s="4"/>
      <c r="AE69" s="4">
        <v>25</v>
      </c>
      <c r="AF69" s="4">
        <v>25</v>
      </c>
      <c r="AG69" s="4">
        <v>25</v>
      </c>
      <c r="AH69" s="4"/>
      <c r="AI69" s="4">
        <v>25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>
        <v>100</v>
      </c>
      <c r="BL69" s="4">
        <v>95</v>
      </c>
      <c r="BM69" s="4">
        <v>90</v>
      </c>
      <c r="BN69" s="4">
        <v>85</v>
      </c>
      <c r="BO69" s="4">
        <v>80</v>
      </c>
      <c r="BP69" s="4">
        <v>75</v>
      </c>
      <c r="BQ69" s="4">
        <v>70</v>
      </c>
      <c r="BR69" s="4">
        <v>65</v>
      </c>
      <c r="BS69" s="4">
        <v>60</v>
      </c>
      <c r="BT69" s="4">
        <v>10</v>
      </c>
      <c r="BU69" s="4">
        <v>9.8000000000000007</v>
      </c>
      <c r="BV69" s="4">
        <v>9.6</v>
      </c>
      <c r="BW69" s="4">
        <v>9.4</v>
      </c>
      <c r="BX69" s="4">
        <v>9.1999999999999993</v>
      </c>
      <c r="BY69" s="4">
        <v>9</v>
      </c>
      <c r="BZ69" s="4">
        <v>8.8000000000000007</v>
      </c>
      <c r="CA69" s="4">
        <v>8.6</v>
      </c>
      <c r="CB69" s="4">
        <v>8.4</v>
      </c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</row>
  </sheetData>
  <sortState ref="A2:DC69">
    <sortCondition ref="E2:E69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영남대학교-24학년도-정시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2026-09-30T05:57:28Z</dcterms:created>
  <dcterms:modified xsi:type="dcterms:W3CDTF">2026-10-05T00:53:33Z</dcterms:modified>
</cp:coreProperties>
</file>